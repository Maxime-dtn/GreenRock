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ulineberthouloux/Downloads/"/>
    </mc:Choice>
  </mc:AlternateContent>
  <xr:revisionPtr revIDLastSave="0" documentId="13_ncr:1_{4E1E8813-6A38-E043-81CD-8DDB60903F5A}" xr6:coauthVersionLast="47" xr6:coauthVersionMax="47" xr10:uidLastSave="{00000000-0000-0000-0000-000000000000}"/>
  <bookViews>
    <workbookView xWindow="-38400" yWindow="-2480" windowWidth="38400" windowHeight="21600" tabRatio="500" xr2:uid="{00000000-000D-0000-FFFF-FFFF00000000}"/>
  </bookViews>
  <sheets>
    <sheet name="Summary" sheetId="1" r:id="rId1"/>
    <sheet name="TELA AM" sheetId="2" r:id="rId2"/>
    <sheet name="ECEQ, Water" sheetId="3" r:id="rId3"/>
    <sheet name="Poseidon, MedPoseidon" sheetId="4" r:id="rId4"/>
    <sheet name="Verdantis Capital" sheetId="5" r:id="rId5"/>
    <sheet name="InclusiFund" sheetId="6" r:id="rId6"/>
    <sheet name="GreenRock" sheetId="7" r:id="rId7"/>
    <sheet name="GreenInvestment" sheetId="8" r:id="rId8"/>
    <sheet name="Aequitas Capital" sheetId="9" r:id="rId9"/>
    <sheet name="STARH AM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5" i="10" l="1"/>
  <c r="E35" i="10"/>
  <c r="F35" i="9"/>
  <c r="E35" i="9"/>
  <c r="F35" i="8"/>
  <c r="E35" i="8"/>
  <c r="F35" i="7"/>
  <c r="E35" i="7"/>
  <c r="F35" i="6"/>
  <c r="E35" i="6"/>
  <c r="F35" i="5"/>
  <c r="E35" i="5"/>
  <c r="F35" i="4"/>
  <c r="E35" i="4"/>
  <c r="F35" i="3"/>
  <c r="E35" i="3"/>
  <c r="F35" i="2"/>
  <c r="E35" i="2"/>
</calcChain>
</file>

<file path=xl/sharedStrings.xml><?xml version="1.0" encoding="utf-8"?>
<sst xmlns="http://schemas.openxmlformats.org/spreadsheetml/2006/main" count="1185" uniqueCount="230">
  <si>
    <t>Date 1 portfolios, one per fund</t>
  </si>
  <si>
    <t>EUR 500 m each, 30 lines, weights in % and amounts in EUR m. One sheet per fund.</t>
  </si>
  <si>
    <t>Fund</t>
  </si>
  <si>
    <t>Thesis</t>
  </si>
  <si>
    <t>Lines</t>
  </si>
  <si>
    <t>Sectors</t>
  </si>
  <si>
    <t>TELA AM</t>
  </si>
  <si>
    <t>Circular materials: extraction threshold, plastics screen, recycled inputs and circular revenue as selection</t>
  </si>
  <si>
    <t>ECEQ, Water</t>
  </si>
  <si>
    <t>Freshwater, Article 9: PAB plus mining and water pollution out, water-solutions revenue in</t>
  </si>
  <si>
    <t>Poseidon, MedPoseidon</t>
  </si>
  <si>
    <t>Marine biodiversity, Article 9: PAB, deep-sea mining, dredging, cruise and protected-area sites out; marine Taxonomy in</t>
  </si>
  <si>
    <t>Verdantis Capital</t>
  </si>
  <si>
    <t>Transition, Article 7: hold the heavy emitters, exclude new fossil supply, select on a credible plan</t>
  </si>
  <si>
    <t>Gender equality, Article 8: controversies and UNGC breaches out, board and management shares in</t>
  </si>
  <si>
    <t>Climate transition, Article 7: new fossil supply out, 1.5 targets and green capex in, high emitters without a plan engaged</t>
  </si>
  <si>
    <t>Paris-aligned, Article 9: PAB and exploration out, WACI 50 % below the universe, TPI leaders in</t>
  </si>
  <si>
    <t>Aequitas Capital</t>
  </si>
  <si>
    <t>Social impact: a values list plus a conditions threshold out, rights commitment and social products in</t>
  </si>
  <si>
    <t>STARH AM</t>
  </si>
  <si>
    <t>Social, Article 9: PAB plus textile and construction out, rights commitment and living wage in</t>
  </si>
  <si>
    <t>TELA AM: Date 1</t>
  </si>
  <si>
    <t>id</t>
  </si>
  <si>
    <t>name</t>
  </si>
  <si>
    <t>sector</t>
  </si>
  <si>
    <t>country</t>
  </si>
  <si>
    <t>weight_pct</t>
  </si>
  <si>
    <t>amount_eur_m</t>
  </si>
  <si>
    <t>walmart</t>
  </si>
  <si>
    <t>Walmart</t>
  </si>
  <si>
    <t>Consumer staples</t>
  </si>
  <si>
    <t>United States</t>
  </si>
  <si>
    <t>nestlé</t>
  </si>
  <si>
    <t>Nestlé</t>
  </si>
  <si>
    <t>Switzerland</t>
  </si>
  <si>
    <t>linde</t>
  </si>
  <si>
    <t>Linde</t>
  </si>
  <si>
    <t>Materials</t>
  </si>
  <si>
    <t>Ireland</t>
  </si>
  <si>
    <t>siemens</t>
  </si>
  <si>
    <t>Siemens</t>
  </si>
  <si>
    <t>Industrials</t>
  </si>
  <si>
    <t>Germany</t>
  </si>
  <si>
    <t>airbus</t>
  </si>
  <si>
    <t>Airbus</t>
  </si>
  <si>
    <t>Netherlands</t>
  </si>
  <si>
    <t>schneider_electric</t>
  </si>
  <si>
    <t>Schneider Electric</t>
  </si>
  <si>
    <t>France</t>
  </si>
  <si>
    <t>deere</t>
  </si>
  <si>
    <t>Deere</t>
  </si>
  <si>
    <t>air_liquide</t>
  </si>
  <si>
    <t>Air Liquide</t>
  </si>
  <si>
    <t>abb</t>
  </si>
  <si>
    <t>ABB</t>
  </si>
  <si>
    <t>cocacola</t>
  </si>
  <si>
    <t>Coca-Cola</t>
  </si>
  <si>
    <t>safran</t>
  </si>
  <si>
    <t>Safran</t>
  </si>
  <si>
    <t>rollsroyce</t>
  </si>
  <si>
    <t>Rolls-Royce</t>
  </si>
  <si>
    <t>United Kingdom</t>
  </si>
  <si>
    <t>waste_management</t>
  </si>
  <si>
    <t>Waste Management</t>
  </si>
  <si>
    <t>pepsico</t>
  </si>
  <si>
    <t>PepsiCo</t>
  </si>
  <si>
    <t>loréal</t>
  </si>
  <si>
    <t>L'Oréal</t>
  </si>
  <si>
    <t>vinci</t>
  </si>
  <si>
    <t>Vinci</t>
  </si>
  <si>
    <t>rheinmetall</t>
  </si>
  <si>
    <t>Rheinmetall</t>
  </si>
  <si>
    <t>atlas_copco</t>
  </si>
  <si>
    <t>Atlas Copco</t>
  </si>
  <si>
    <t>Sweden</t>
  </si>
  <si>
    <t>ecolab</t>
  </si>
  <si>
    <t>Ecolab</t>
  </si>
  <si>
    <t>republic_services</t>
  </si>
  <si>
    <t>Republic Services</t>
  </si>
  <si>
    <t>rtx</t>
  </si>
  <si>
    <t>RTX</t>
  </si>
  <si>
    <t>volvo_group</t>
  </si>
  <si>
    <t>Volvo Group</t>
  </si>
  <si>
    <t>siemens_energy</t>
  </si>
  <si>
    <t>Siemens Energy</t>
  </si>
  <si>
    <t>thales</t>
  </si>
  <si>
    <t>Thales</t>
  </si>
  <si>
    <t>dhl_group</t>
  </si>
  <si>
    <t>DHL Group</t>
  </si>
  <si>
    <t>saintgobain</t>
  </si>
  <si>
    <t>Saint-Gobain</t>
  </si>
  <si>
    <t>basf</t>
  </si>
  <si>
    <t>BASF</t>
  </si>
  <si>
    <t>dsv</t>
  </si>
  <si>
    <t>DSV</t>
  </si>
  <si>
    <t>Denmark</t>
  </si>
  <si>
    <t>daimler_truck</t>
  </si>
  <si>
    <t>Daimler Truck</t>
  </si>
  <si>
    <t>caterpillar</t>
  </si>
  <si>
    <t>Caterpillar</t>
  </si>
  <si>
    <t>Total</t>
  </si>
  <si>
    <t>ECEQ, Water: Date 1</t>
  </si>
  <si>
    <t>philip_morris_international</t>
  </si>
  <si>
    <t>Philip Morris International</t>
  </si>
  <si>
    <t>unilever</t>
  </si>
  <si>
    <t>Unilever</t>
  </si>
  <si>
    <t>ab_inbev</t>
  </si>
  <si>
    <t>AB InBev</t>
  </si>
  <si>
    <t>Belgium</t>
  </si>
  <si>
    <t>mondelez</t>
  </si>
  <si>
    <t>Mondelez</t>
  </si>
  <si>
    <t>edf</t>
  </si>
  <si>
    <t>EDF</t>
  </si>
  <si>
    <t>Utilities</t>
  </si>
  <si>
    <t>crh</t>
  </si>
  <si>
    <t>CRH</t>
  </si>
  <si>
    <t>diageo</t>
  </si>
  <si>
    <t>Diageo</t>
  </si>
  <si>
    <t>national_grid</t>
  </si>
  <si>
    <t>National Grid</t>
  </si>
  <si>
    <t>Poseidon, MedPoseidon: Date 1</t>
  </si>
  <si>
    <t>amazon</t>
  </si>
  <si>
    <t>Amazon</t>
  </si>
  <si>
    <t>Consumer discretionary</t>
  </si>
  <si>
    <t>tesla</t>
  </si>
  <si>
    <t>Tesla</t>
  </si>
  <si>
    <t>lvmh</t>
  </si>
  <si>
    <t>LVMH</t>
  </si>
  <si>
    <t>toyota</t>
  </si>
  <si>
    <t>Toyota</t>
  </si>
  <si>
    <t>Japan</t>
  </si>
  <si>
    <t>exxonmobil</t>
  </si>
  <si>
    <t>ExxonMobil</t>
  </si>
  <si>
    <t>Energy</t>
  </si>
  <si>
    <t>mcdonalds</t>
  </si>
  <si>
    <t>McDonald's</t>
  </si>
  <si>
    <t>hermès</t>
  </si>
  <si>
    <t>Hermès</t>
  </si>
  <si>
    <t>zara_inditex</t>
  </si>
  <si>
    <t>Zara (Inditex)</t>
  </si>
  <si>
    <t>Spain</t>
  </si>
  <si>
    <t>byd</t>
  </si>
  <si>
    <t>BYD</t>
  </si>
  <si>
    <t>China</t>
  </si>
  <si>
    <t>starbucks</t>
  </si>
  <si>
    <t>Starbucks</t>
  </si>
  <si>
    <t>mercedesbenz_group</t>
  </si>
  <si>
    <t>Mercedes-Benz Group</t>
  </si>
  <si>
    <t>Verdantis Capital: Date 1</t>
  </si>
  <si>
    <t>chevron</t>
  </si>
  <si>
    <t>Chevron</t>
  </si>
  <si>
    <t>bhp</t>
  </si>
  <si>
    <t>BHP</t>
  </si>
  <si>
    <t>Australia</t>
  </si>
  <si>
    <t>shell</t>
  </si>
  <si>
    <t>Shell</t>
  </si>
  <si>
    <t>rio_tinto</t>
  </si>
  <si>
    <t>Rio Tinto</t>
  </si>
  <si>
    <t>iberdrola</t>
  </si>
  <si>
    <t>Iberdrola</t>
  </si>
  <si>
    <t>enel</t>
  </si>
  <si>
    <t>Enel</t>
  </si>
  <si>
    <t>Italy</t>
  </si>
  <si>
    <t>freeportmcmoran</t>
  </si>
  <si>
    <t>Freeport-McMoRan</t>
  </si>
  <si>
    <t>newmont</t>
  </si>
  <si>
    <t>Newmont</t>
  </si>
  <si>
    <t>alphabet</t>
  </si>
  <si>
    <t>Alphabet</t>
  </si>
  <si>
    <t>Information technology</t>
  </si>
  <si>
    <t>apple</t>
  </si>
  <si>
    <t>Apple</t>
  </si>
  <si>
    <t>microsoft</t>
  </si>
  <si>
    <t>Microsoft</t>
  </si>
  <si>
    <t>johnson_and_johnson</t>
  </si>
  <si>
    <t>Johnson &amp; Johnson</t>
  </si>
  <si>
    <t>Health care</t>
  </si>
  <si>
    <t>asml</t>
  </si>
  <si>
    <t>ASML</t>
  </si>
  <si>
    <t>novartis</t>
  </si>
  <si>
    <t>Novartis</t>
  </si>
  <si>
    <t>roche</t>
  </si>
  <si>
    <t>Roche</t>
  </si>
  <si>
    <t>astrazeneca</t>
  </si>
  <si>
    <t>AstraZeneca</t>
  </si>
  <si>
    <t>thermo_fisher_scientific</t>
  </si>
  <si>
    <t>Thermo Fisher Scientific</t>
  </si>
  <si>
    <t>danaher</t>
  </si>
  <si>
    <t>Danaher</t>
  </si>
  <si>
    <t>hsbc</t>
  </si>
  <si>
    <t>HSBC</t>
  </si>
  <si>
    <t>Financials</t>
  </si>
  <si>
    <t>booking_holdings</t>
  </si>
  <si>
    <t>Booking Holdings</t>
  </si>
  <si>
    <t>pfizer</t>
  </si>
  <si>
    <t>Pfizer</t>
  </si>
  <si>
    <t>totalenergies</t>
  </si>
  <si>
    <t>TotalEnergies</t>
  </si>
  <si>
    <t>novo_nordisk</t>
  </si>
  <si>
    <t>Novo Nordisk</t>
  </si>
  <si>
    <t>nike</t>
  </si>
  <si>
    <t>Nike</t>
  </si>
  <si>
    <t>meta_platforms</t>
  </si>
  <si>
    <t>Meta Platforms</t>
  </si>
  <si>
    <t>unitedhealth_group</t>
  </si>
  <si>
    <t>UnitedHealth Group</t>
  </si>
  <si>
    <t>sap</t>
  </si>
  <si>
    <t>SAP</t>
  </si>
  <si>
    <t>Aequitas Capital: Date 1</t>
  </si>
  <si>
    <t>stryker</t>
  </si>
  <si>
    <t>Stryker</t>
  </si>
  <si>
    <t>sanofi</t>
  </si>
  <si>
    <t>Sanofi</t>
  </si>
  <si>
    <t>vertex_pharmaceuticals</t>
  </si>
  <si>
    <t>Vertex Pharmaceuticals</t>
  </si>
  <si>
    <t>medtronic</t>
  </si>
  <si>
    <t>Medtronic</t>
  </si>
  <si>
    <t>essilorluxottica</t>
  </si>
  <si>
    <t>EssilorLuxottica</t>
  </si>
  <si>
    <t>hca_healthcare</t>
  </si>
  <si>
    <t>HCA Healthcare</t>
  </si>
  <si>
    <t>elevance_health</t>
  </si>
  <si>
    <t>Elevance Health</t>
  </si>
  <si>
    <t>STARH AM: Date 1</t>
  </si>
  <si>
    <t>InclusiFund</t>
  </si>
  <si>
    <t>InclusiFund: Date 1</t>
  </si>
  <si>
    <t>GreenRock</t>
  </si>
  <si>
    <t>GreenRock: Date 1</t>
  </si>
  <si>
    <t>GreenInvestment, ex GreenRock</t>
  </si>
  <si>
    <t>GreenInvestment: Date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</si>
</sst>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E2433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4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B6" sqref="B6"/>
    </sheetView>
  </sheetViews>
  <sheetFormatPr baseColWidth="10" defaultColWidth="8.6640625" defaultRowHeight="15" x14ac:dyDescent="0.2"/>
  <cols>
    <col min="1" max="1" width="30" customWidth="1"/>
    <col min="2" max="2" width="90" customWidth="1"/>
    <col min="3" max="3" width="7" customWidth="1"/>
    <col min="4" max="4" width="8" customWidth="1"/>
  </cols>
  <sheetData>
    <row r="1" spans="1:4" ht="18" x14ac:dyDescent="0.2">
      <c r="A1" s="1" t="s">
        <v>0</v>
      </c>
    </row>
    <row r="2" spans="1:4" x14ac:dyDescent="0.2">
      <c r="A2" t="s">
        <v>1</v>
      </c>
    </row>
    <row r="4" spans="1:4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ht="16" x14ac:dyDescent="0.2">
      <c r="A5" s="3" t="s">
        <v>6</v>
      </c>
      <c r="B5" s="3" t="s">
        <v>7</v>
      </c>
      <c r="C5" s="3">
        <v>30</v>
      </c>
      <c r="D5" s="3">
        <v>3</v>
      </c>
    </row>
    <row r="6" spans="1:4" ht="16" x14ac:dyDescent="0.2">
      <c r="A6" s="3" t="s">
        <v>8</v>
      </c>
      <c r="B6" s="3" t="s">
        <v>9</v>
      </c>
      <c r="C6" s="3">
        <v>30</v>
      </c>
      <c r="D6" s="3">
        <v>4</v>
      </c>
    </row>
    <row r="7" spans="1:4" ht="32" x14ac:dyDescent="0.2">
      <c r="A7" s="3" t="s">
        <v>10</v>
      </c>
      <c r="B7" s="3" t="s">
        <v>11</v>
      </c>
      <c r="C7" s="3">
        <v>30</v>
      </c>
      <c r="D7" s="3">
        <v>5</v>
      </c>
    </row>
    <row r="8" spans="1:4" ht="16" x14ac:dyDescent="0.2">
      <c r="A8" s="3" t="s">
        <v>12</v>
      </c>
      <c r="B8" s="3" t="s">
        <v>13</v>
      </c>
      <c r="C8" s="3">
        <v>30</v>
      </c>
      <c r="D8" s="3">
        <v>4</v>
      </c>
    </row>
    <row r="9" spans="1:4" ht="16" x14ac:dyDescent="0.2">
      <c r="A9" s="3" t="s">
        <v>224</v>
      </c>
      <c r="B9" s="3" t="s">
        <v>14</v>
      </c>
      <c r="C9" s="3">
        <v>30</v>
      </c>
      <c r="D9" s="3">
        <v>8</v>
      </c>
    </row>
    <row r="10" spans="1:4" ht="32" x14ac:dyDescent="0.2">
      <c r="A10" s="3" t="s">
        <v>226</v>
      </c>
      <c r="B10" s="3" t="s">
        <v>15</v>
      </c>
      <c r="C10" s="3">
        <v>30</v>
      </c>
      <c r="D10" s="3">
        <v>5</v>
      </c>
    </row>
    <row r="11" spans="1:4" ht="16" x14ac:dyDescent="0.2">
      <c r="A11" s="3" t="s">
        <v>228</v>
      </c>
      <c r="B11" s="3" t="s">
        <v>16</v>
      </c>
      <c r="C11" s="3">
        <v>30</v>
      </c>
      <c r="D11" s="3">
        <v>8</v>
      </c>
    </row>
    <row r="12" spans="1:4" ht="16" x14ac:dyDescent="0.2">
      <c r="A12" s="3" t="s">
        <v>17</v>
      </c>
      <c r="B12" s="3" t="s">
        <v>18</v>
      </c>
      <c r="C12" s="3">
        <v>30</v>
      </c>
      <c r="D12" s="3">
        <v>4</v>
      </c>
    </row>
    <row r="13" spans="1:4" ht="16" x14ac:dyDescent="0.2">
      <c r="A13" s="3" t="s">
        <v>19</v>
      </c>
      <c r="B13" s="3" t="s">
        <v>20</v>
      </c>
      <c r="C13" s="3">
        <v>30</v>
      </c>
      <c r="D13" s="3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21</v>
      </c>
    </row>
    <row r="2" spans="1:6" x14ac:dyDescent="0.2">
      <c r="A2" t="s">
        <v>7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28</v>
      </c>
      <c r="B5" t="s">
        <v>29</v>
      </c>
      <c r="C5" t="s">
        <v>30</v>
      </c>
      <c r="D5" t="s">
        <v>31</v>
      </c>
      <c r="E5">
        <v>6</v>
      </c>
      <c r="F5">
        <v>30</v>
      </c>
    </row>
    <row r="6" spans="1:6" x14ac:dyDescent="0.2">
      <c r="A6" t="s">
        <v>32</v>
      </c>
      <c r="B6" t="s">
        <v>33</v>
      </c>
      <c r="C6" t="s">
        <v>30</v>
      </c>
      <c r="D6" t="s">
        <v>34</v>
      </c>
      <c r="E6">
        <v>6</v>
      </c>
      <c r="F6">
        <v>30</v>
      </c>
    </row>
    <row r="7" spans="1:6" x14ac:dyDescent="0.2">
      <c r="A7" t="s">
        <v>35</v>
      </c>
      <c r="B7" t="s">
        <v>36</v>
      </c>
      <c r="C7" t="s">
        <v>37</v>
      </c>
      <c r="D7" t="s">
        <v>38</v>
      </c>
      <c r="E7">
        <v>6</v>
      </c>
      <c r="F7">
        <v>30</v>
      </c>
    </row>
    <row r="8" spans="1:6" x14ac:dyDescent="0.2">
      <c r="A8" t="s">
        <v>39</v>
      </c>
      <c r="B8" t="s">
        <v>40</v>
      </c>
      <c r="C8" t="s">
        <v>41</v>
      </c>
      <c r="D8" t="s">
        <v>42</v>
      </c>
      <c r="E8">
        <v>6</v>
      </c>
      <c r="F8">
        <v>30</v>
      </c>
    </row>
    <row r="9" spans="1:6" x14ac:dyDescent="0.2">
      <c r="A9" t="s">
        <v>43</v>
      </c>
      <c r="B9" t="s">
        <v>44</v>
      </c>
      <c r="C9" t="s">
        <v>41</v>
      </c>
      <c r="D9" t="s">
        <v>45</v>
      </c>
      <c r="E9">
        <v>5.52</v>
      </c>
      <c r="F9">
        <v>27.6</v>
      </c>
    </row>
    <row r="10" spans="1:6" x14ac:dyDescent="0.2">
      <c r="A10" t="s">
        <v>46</v>
      </c>
      <c r="B10" t="s">
        <v>47</v>
      </c>
      <c r="C10" t="s">
        <v>41</v>
      </c>
      <c r="D10" t="s">
        <v>48</v>
      </c>
      <c r="E10">
        <v>5.52</v>
      </c>
      <c r="F10">
        <v>27.6</v>
      </c>
    </row>
    <row r="11" spans="1:6" x14ac:dyDescent="0.2">
      <c r="A11" t="s">
        <v>49</v>
      </c>
      <c r="B11" t="s">
        <v>50</v>
      </c>
      <c r="C11" t="s">
        <v>41</v>
      </c>
      <c r="D11" t="s">
        <v>31</v>
      </c>
      <c r="E11">
        <v>5.09</v>
      </c>
      <c r="F11">
        <v>25.45</v>
      </c>
    </row>
    <row r="12" spans="1:6" x14ac:dyDescent="0.2">
      <c r="A12" t="s">
        <v>51</v>
      </c>
      <c r="B12" t="s">
        <v>52</v>
      </c>
      <c r="C12" t="s">
        <v>37</v>
      </c>
      <c r="D12" t="s">
        <v>48</v>
      </c>
      <c r="E12">
        <v>4.24</v>
      </c>
      <c r="F12">
        <v>21.2</v>
      </c>
    </row>
    <row r="13" spans="1:6" x14ac:dyDescent="0.2">
      <c r="A13" t="s">
        <v>53</v>
      </c>
      <c r="B13" t="s">
        <v>54</v>
      </c>
      <c r="C13" t="s">
        <v>41</v>
      </c>
      <c r="D13" t="s">
        <v>34</v>
      </c>
      <c r="E13">
        <v>4.24</v>
      </c>
      <c r="F13">
        <v>21.2</v>
      </c>
    </row>
    <row r="14" spans="1:6" x14ac:dyDescent="0.2">
      <c r="A14" t="s">
        <v>55</v>
      </c>
      <c r="B14" t="s">
        <v>56</v>
      </c>
      <c r="C14" t="s">
        <v>30</v>
      </c>
      <c r="D14" t="s">
        <v>31</v>
      </c>
      <c r="E14">
        <v>4.1399999999999997</v>
      </c>
      <c r="F14">
        <v>20.7</v>
      </c>
    </row>
    <row r="15" spans="1:6" x14ac:dyDescent="0.2">
      <c r="A15" t="s">
        <v>57</v>
      </c>
      <c r="B15" t="s">
        <v>58</v>
      </c>
      <c r="C15" t="s">
        <v>41</v>
      </c>
      <c r="D15" t="s">
        <v>48</v>
      </c>
      <c r="E15">
        <v>3.82</v>
      </c>
      <c r="F15">
        <v>19.100000000000001</v>
      </c>
    </row>
    <row r="16" spans="1:6" x14ac:dyDescent="0.2">
      <c r="A16" t="s">
        <v>59</v>
      </c>
      <c r="B16" t="s">
        <v>60</v>
      </c>
      <c r="C16" t="s">
        <v>41</v>
      </c>
      <c r="D16" t="s">
        <v>61</v>
      </c>
      <c r="E16">
        <v>3.39</v>
      </c>
      <c r="F16">
        <v>16.95</v>
      </c>
    </row>
    <row r="17" spans="1:6" x14ac:dyDescent="0.2">
      <c r="A17" t="s">
        <v>62</v>
      </c>
      <c r="B17" t="s">
        <v>63</v>
      </c>
      <c r="C17" t="s">
        <v>41</v>
      </c>
      <c r="D17" t="s">
        <v>31</v>
      </c>
      <c r="E17">
        <v>3.39</v>
      </c>
      <c r="F17">
        <v>16.95</v>
      </c>
    </row>
    <row r="18" spans="1:6" x14ac:dyDescent="0.2">
      <c r="A18" t="s">
        <v>64</v>
      </c>
      <c r="B18" t="s">
        <v>65</v>
      </c>
      <c r="C18" t="s">
        <v>30</v>
      </c>
      <c r="D18" t="s">
        <v>31</v>
      </c>
      <c r="E18">
        <v>2.95</v>
      </c>
      <c r="F18">
        <v>14.75</v>
      </c>
    </row>
    <row r="19" spans="1:6" x14ac:dyDescent="0.2">
      <c r="A19" t="s">
        <v>66</v>
      </c>
      <c r="B19" t="s">
        <v>67</v>
      </c>
      <c r="C19" t="s">
        <v>30</v>
      </c>
      <c r="D19" t="s">
        <v>48</v>
      </c>
      <c r="E19">
        <v>2.95</v>
      </c>
      <c r="F19">
        <v>14.75</v>
      </c>
    </row>
    <row r="20" spans="1:6" x14ac:dyDescent="0.2">
      <c r="A20" t="s">
        <v>68</v>
      </c>
      <c r="B20" t="s">
        <v>69</v>
      </c>
      <c r="C20" t="s">
        <v>41</v>
      </c>
      <c r="D20" t="s">
        <v>48</v>
      </c>
      <c r="E20">
        <v>2.76</v>
      </c>
      <c r="F20">
        <v>13.8</v>
      </c>
    </row>
    <row r="21" spans="1:6" x14ac:dyDescent="0.2">
      <c r="A21" t="s">
        <v>70</v>
      </c>
      <c r="B21" t="s">
        <v>71</v>
      </c>
      <c r="C21" t="s">
        <v>41</v>
      </c>
      <c r="D21" t="s">
        <v>42</v>
      </c>
      <c r="E21">
        <v>2.5499999999999998</v>
      </c>
      <c r="F21">
        <v>12.75</v>
      </c>
    </row>
    <row r="22" spans="1:6" x14ac:dyDescent="0.2">
      <c r="A22" t="s">
        <v>72</v>
      </c>
      <c r="B22" t="s">
        <v>73</v>
      </c>
      <c r="C22" t="s">
        <v>41</v>
      </c>
      <c r="D22" t="s">
        <v>74</v>
      </c>
      <c r="E22">
        <v>2.5499999999999998</v>
      </c>
      <c r="F22">
        <v>12.75</v>
      </c>
    </row>
    <row r="23" spans="1:6" x14ac:dyDescent="0.2">
      <c r="A23" t="s">
        <v>75</v>
      </c>
      <c r="B23" t="s">
        <v>76</v>
      </c>
      <c r="C23" t="s">
        <v>41</v>
      </c>
      <c r="D23" t="s">
        <v>31</v>
      </c>
      <c r="E23">
        <v>2.5499999999999998</v>
      </c>
      <c r="F23">
        <v>12.75</v>
      </c>
    </row>
    <row r="24" spans="1:6" x14ac:dyDescent="0.2">
      <c r="A24" t="s">
        <v>77</v>
      </c>
      <c r="B24" t="s">
        <v>78</v>
      </c>
      <c r="C24" t="s">
        <v>41</v>
      </c>
      <c r="D24" t="s">
        <v>31</v>
      </c>
      <c r="E24">
        <v>2.5499999999999998</v>
      </c>
      <c r="F24">
        <v>12.75</v>
      </c>
    </row>
    <row r="25" spans="1:6" x14ac:dyDescent="0.2">
      <c r="A25" t="s">
        <v>79</v>
      </c>
      <c r="B25" t="s">
        <v>80</v>
      </c>
      <c r="C25" t="s">
        <v>41</v>
      </c>
      <c r="D25" t="s">
        <v>31</v>
      </c>
      <c r="E25">
        <v>2.36</v>
      </c>
      <c r="F25">
        <v>11.8</v>
      </c>
    </row>
    <row r="26" spans="1:6" x14ac:dyDescent="0.2">
      <c r="A26" t="s">
        <v>81</v>
      </c>
      <c r="B26" t="s">
        <v>82</v>
      </c>
      <c r="C26" t="s">
        <v>41</v>
      </c>
      <c r="D26" t="s">
        <v>74</v>
      </c>
      <c r="E26">
        <v>2.33</v>
      </c>
      <c r="F26">
        <v>11.65</v>
      </c>
    </row>
    <row r="27" spans="1:6" x14ac:dyDescent="0.2">
      <c r="A27" t="s">
        <v>83</v>
      </c>
      <c r="B27" t="s">
        <v>84</v>
      </c>
      <c r="C27" t="s">
        <v>41</v>
      </c>
      <c r="D27" t="s">
        <v>42</v>
      </c>
      <c r="E27">
        <v>2.12</v>
      </c>
      <c r="F27">
        <v>10.6</v>
      </c>
    </row>
    <row r="28" spans="1:6" x14ac:dyDescent="0.2">
      <c r="A28" t="s">
        <v>85</v>
      </c>
      <c r="B28" t="s">
        <v>86</v>
      </c>
      <c r="C28" t="s">
        <v>41</v>
      </c>
      <c r="D28" t="s">
        <v>48</v>
      </c>
      <c r="E28">
        <v>1.91</v>
      </c>
      <c r="F28">
        <v>9.5500000000000007</v>
      </c>
    </row>
    <row r="29" spans="1:6" x14ac:dyDescent="0.2">
      <c r="A29" t="s">
        <v>87</v>
      </c>
      <c r="B29" t="s">
        <v>88</v>
      </c>
      <c r="C29" t="s">
        <v>41</v>
      </c>
      <c r="D29" t="s">
        <v>42</v>
      </c>
      <c r="E29">
        <v>1.91</v>
      </c>
      <c r="F29">
        <v>9.5500000000000007</v>
      </c>
    </row>
    <row r="30" spans="1:6" x14ac:dyDescent="0.2">
      <c r="A30" t="s">
        <v>89</v>
      </c>
      <c r="B30" t="s">
        <v>90</v>
      </c>
      <c r="C30" t="s">
        <v>37</v>
      </c>
      <c r="D30" t="s">
        <v>48</v>
      </c>
      <c r="E30">
        <v>1.7</v>
      </c>
      <c r="F30">
        <v>8.5</v>
      </c>
    </row>
    <row r="31" spans="1:6" x14ac:dyDescent="0.2">
      <c r="A31" t="s">
        <v>91</v>
      </c>
      <c r="B31" t="s">
        <v>92</v>
      </c>
      <c r="C31" t="s">
        <v>37</v>
      </c>
      <c r="D31" t="s">
        <v>42</v>
      </c>
      <c r="E31">
        <v>1.7</v>
      </c>
      <c r="F31">
        <v>8.5</v>
      </c>
    </row>
    <row r="32" spans="1:6" x14ac:dyDescent="0.2">
      <c r="A32" t="s">
        <v>93</v>
      </c>
      <c r="B32" t="s">
        <v>94</v>
      </c>
      <c r="C32" t="s">
        <v>41</v>
      </c>
      <c r="D32" t="s">
        <v>95</v>
      </c>
      <c r="E32">
        <v>1.7</v>
      </c>
      <c r="F32">
        <v>8.5</v>
      </c>
    </row>
    <row r="33" spans="1:6" x14ac:dyDescent="0.2">
      <c r="A33" t="s">
        <v>96</v>
      </c>
      <c r="B33" t="s">
        <v>97</v>
      </c>
      <c r="C33" t="s">
        <v>41</v>
      </c>
      <c r="D33" t="s">
        <v>42</v>
      </c>
      <c r="E33">
        <v>1.27</v>
      </c>
      <c r="F33">
        <v>6.35</v>
      </c>
    </row>
    <row r="34" spans="1:6" x14ac:dyDescent="0.2">
      <c r="A34" t="s">
        <v>98</v>
      </c>
      <c r="B34" t="s">
        <v>99</v>
      </c>
      <c r="C34" t="s">
        <v>41</v>
      </c>
      <c r="D34" t="s">
        <v>31</v>
      </c>
      <c r="E34">
        <v>0.79</v>
      </c>
      <c r="F34">
        <v>3.95</v>
      </c>
    </row>
    <row r="35" spans="1:6" x14ac:dyDescent="0.2">
      <c r="A35" s="4" t="s">
        <v>100</v>
      </c>
      <c r="E35" s="4">
        <f>SUM(E5:E34)</f>
        <v>100</v>
      </c>
      <c r="F35" s="4">
        <f>SUM(F5:F34)</f>
        <v>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101</v>
      </c>
    </row>
    <row r="2" spans="1:6" x14ac:dyDescent="0.2">
      <c r="A2" t="s">
        <v>9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55</v>
      </c>
      <c r="B5" t="s">
        <v>56</v>
      </c>
      <c r="C5" t="s">
        <v>30</v>
      </c>
      <c r="D5" t="s">
        <v>31</v>
      </c>
      <c r="E5">
        <v>6</v>
      </c>
      <c r="F5">
        <v>30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>
        <v>6</v>
      </c>
      <c r="F6">
        <v>30</v>
      </c>
    </row>
    <row r="7" spans="1:6" x14ac:dyDescent="0.2">
      <c r="A7" t="s">
        <v>32</v>
      </c>
      <c r="B7" t="s">
        <v>33</v>
      </c>
      <c r="C7" t="s">
        <v>30</v>
      </c>
      <c r="D7" t="s">
        <v>34</v>
      </c>
      <c r="E7">
        <v>5.9</v>
      </c>
      <c r="F7">
        <v>29.5</v>
      </c>
    </row>
    <row r="8" spans="1:6" x14ac:dyDescent="0.2">
      <c r="A8" t="s">
        <v>64</v>
      </c>
      <c r="B8" t="s">
        <v>65</v>
      </c>
      <c r="C8" t="s">
        <v>30</v>
      </c>
      <c r="D8" t="s">
        <v>31</v>
      </c>
      <c r="E8">
        <v>5.69</v>
      </c>
      <c r="F8">
        <v>28.45</v>
      </c>
    </row>
    <row r="9" spans="1:6" x14ac:dyDescent="0.2">
      <c r="A9" t="s">
        <v>66</v>
      </c>
      <c r="B9" t="s">
        <v>67</v>
      </c>
      <c r="C9" t="s">
        <v>30</v>
      </c>
      <c r="D9" t="s">
        <v>48</v>
      </c>
      <c r="E9">
        <v>5.69</v>
      </c>
      <c r="F9">
        <v>28.45</v>
      </c>
    </row>
    <row r="10" spans="1:6" x14ac:dyDescent="0.2">
      <c r="A10" t="s">
        <v>35</v>
      </c>
      <c r="B10" t="s">
        <v>36</v>
      </c>
      <c r="C10" t="s">
        <v>37</v>
      </c>
      <c r="D10" t="s">
        <v>38</v>
      </c>
      <c r="E10">
        <v>5.66</v>
      </c>
      <c r="F10">
        <v>28.3</v>
      </c>
    </row>
    <row r="11" spans="1:6" x14ac:dyDescent="0.2">
      <c r="A11" t="s">
        <v>102</v>
      </c>
      <c r="B11" t="s">
        <v>103</v>
      </c>
      <c r="C11" t="s">
        <v>30</v>
      </c>
      <c r="D11" t="s">
        <v>31</v>
      </c>
      <c r="E11">
        <v>5.09</v>
      </c>
      <c r="F11">
        <v>25.45</v>
      </c>
    </row>
    <row r="12" spans="1:6" x14ac:dyDescent="0.2">
      <c r="A12" t="s">
        <v>98</v>
      </c>
      <c r="B12" t="s">
        <v>99</v>
      </c>
      <c r="C12" t="s">
        <v>41</v>
      </c>
      <c r="D12" t="s">
        <v>31</v>
      </c>
      <c r="E12">
        <v>4.84</v>
      </c>
      <c r="F12">
        <v>24.2</v>
      </c>
    </row>
    <row r="13" spans="1:6" x14ac:dyDescent="0.2">
      <c r="A13" t="s">
        <v>79</v>
      </c>
      <c r="B13" t="s">
        <v>80</v>
      </c>
      <c r="C13" t="s">
        <v>41</v>
      </c>
      <c r="D13" t="s">
        <v>31</v>
      </c>
      <c r="E13">
        <v>4.29</v>
      </c>
      <c r="F13">
        <v>21.45</v>
      </c>
    </row>
    <row r="14" spans="1:6" x14ac:dyDescent="0.2">
      <c r="A14" t="s">
        <v>39</v>
      </c>
      <c r="B14" t="s">
        <v>40</v>
      </c>
      <c r="C14" t="s">
        <v>41</v>
      </c>
      <c r="D14" t="s">
        <v>42</v>
      </c>
      <c r="E14">
        <v>4.2699999999999996</v>
      </c>
      <c r="F14">
        <v>21.35</v>
      </c>
    </row>
    <row r="15" spans="1:6" x14ac:dyDescent="0.2">
      <c r="A15" t="s">
        <v>43</v>
      </c>
      <c r="B15" t="s">
        <v>44</v>
      </c>
      <c r="C15" t="s">
        <v>41</v>
      </c>
      <c r="D15" t="s">
        <v>45</v>
      </c>
      <c r="E15">
        <v>3.7</v>
      </c>
      <c r="F15">
        <v>18.5</v>
      </c>
    </row>
    <row r="16" spans="1:6" x14ac:dyDescent="0.2">
      <c r="A16" t="s">
        <v>46</v>
      </c>
      <c r="B16" t="s">
        <v>47</v>
      </c>
      <c r="C16" t="s">
        <v>41</v>
      </c>
      <c r="D16" t="s">
        <v>48</v>
      </c>
      <c r="E16">
        <v>3.7</v>
      </c>
      <c r="F16">
        <v>18.5</v>
      </c>
    </row>
    <row r="17" spans="1:6" x14ac:dyDescent="0.2">
      <c r="A17" t="s">
        <v>104</v>
      </c>
      <c r="B17" t="s">
        <v>105</v>
      </c>
      <c r="C17" t="s">
        <v>30</v>
      </c>
      <c r="D17" t="s">
        <v>61</v>
      </c>
      <c r="E17">
        <v>3.7</v>
      </c>
      <c r="F17">
        <v>18.5</v>
      </c>
    </row>
    <row r="18" spans="1:6" x14ac:dyDescent="0.2">
      <c r="A18" t="s">
        <v>49</v>
      </c>
      <c r="B18" t="s">
        <v>50</v>
      </c>
      <c r="C18" t="s">
        <v>41</v>
      </c>
      <c r="D18" t="s">
        <v>31</v>
      </c>
      <c r="E18">
        <v>3.42</v>
      </c>
      <c r="F18">
        <v>17.100000000000001</v>
      </c>
    </row>
    <row r="19" spans="1:6" x14ac:dyDescent="0.2">
      <c r="A19" t="s">
        <v>51</v>
      </c>
      <c r="B19" t="s">
        <v>52</v>
      </c>
      <c r="C19" t="s">
        <v>37</v>
      </c>
      <c r="D19" t="s">
        <v>48</v>
      </c>
      <c r="E19">
        <v>2.85</v>
      </c>
      <c r="F19">
        <v>14.25</v>
      </c>
    </row>
    <row r="20" spans="1:6" x14ac:dyDescent="0.2">
      <c r="A20" t="s">
        <v>53</v>
      </c>
      <c r="B20" t="s">
        <v>54</v>
      </c>
      <c r="C20" t="s">
        <v>41</v>
      </c>
      <c r="D20" t="s">
        <v>34</v>
      </c>
      <c r="E20">
        <v>2.85</v>
      </c>
      <c r="F20">
        <v>14.25</v>
      </c>
    </row>
    <row r="21" spans="1:6" x14ac:dyDescent="0.2">
      <c r="A21" t="s">
        <v>106</v>
      </c>
      <c r="B21" t="s">
        <v>107</v>
      </c>
      <c r="C21" t="s">
        <v>30</v>
      </c>
      <c r="D21" t="s">
        <v>108</v>
      </c>
      <c r="E21">
        <v>2.85</v>
      </c>
      <c r="F21">
        <v>14.25</v>
      </c>
    </row>
    <row r="22" spans="1:6" x14ac:dyDescent="0.2">
      <c r="A22" t="s">
        <v>57</v>
      </c>
      <c r="B22" t="s">
        <v>58</v>
      </c>
      <c r="C22" t="s">
        <v>41</v>
      </c>
      <c r="D22" t="s">
        <v>48</v>
      </c>
      <c r="E22">
        <v>2.56</v>
      </c>
      <c r="F22">
        <v>12.8</v>
      </c>
    </row>
    <row r="23" spans="1:6" x14ac:dyDescent="0.2">
      <c r="A23" t="s">
        <v>109</v>
      </c>
      <c r="B23" t="s">
        <v>110</v>
      </c>
      <c r="C23" t="s">
        <v>30</v>
      </c>
      <c r="D23" t="s">
        <v>31</v>
      </c>
      <c r="E23">
        <v>2.42</v>
      </c>
      <c r="F23">
        <v>12.1</v>
      </c>
    </row>
    <row r="24" spans="1:6" x14ac:dyDescent="0.2">
      <c r="A24" t="s">
        <v>59</v>
      </c>
      <c r="B24" t="s">
        <v>60</v>
      </c>
      <c r="C24" t="s">
        <v>41</v>
      </c>
      <c r="D24" t="s">
        <v>61</v>
      </c>
      <c r="E24">
        <v>2.2799999999999998</v>
      </c>
      <c r="F24">
        <v>11.4</v>
      </c>
    </row>
    <row r="25" spans="1:6" x14ac:dyDescent="0.2">
      <c r="A25" t="s">
        <v>62</v>
      </c>
      <c r="B25" t="s">
        <v>63</v>
      </c>
      <c r="C25" t="s">
        <v>41</v>
      </c>
      <c r="D25" t="s">
        <v>31</v>
      </c>
      <c r="E25">
        <v>2.2799999999999998</v>
      </c>
      <c r="F25">
        <v>11.4</v>
      </c>
    </row>
    <row r="26" spans="1:6" x14ac:dyDescent="0.2">
      <c r="A26" t="s">
        <v>68</v>
      </c>
      <c r="B26" t="s">
        <v>69</v>
      </c>
      <c r="C26" t="s">
        <v>41</v>
      </c>
      <c r="D26" t="s">
        <v>48</v>
      </c>
      <c r="E26">
        <v>1.85</v>
      </c>
      <c r="F26">
        <v>9.25</v>
      </c>
    </row>
    <row r="27" spans="1:6" x14ac:dyDescent="0.2">
      <c r="A27" t="s">
        <v>111</v>
      </c>
      <c r="B27" t="s">
        <v>112</v>
      </c>
      <c r="C27" t="s">
        <v>113</v>
      </c>
      <c r="D27" t="s">
        <v>48</v>
      </c>
      <c r="E27">
        <v>1.71</v>
      </c>
      <c r="F27">
        <v>8.5500000000000007</v>
      </c>
    </row>
    <row r="28" spans="1:6" x14ac:dyDescent="0.2">
      <c r="A28" t="s">
        <v>114</v>
      </c>
      <c r="B28" t="s">
        <v>115</v>
      </c>
      <c r="C28" t="s">
        <v>37</v>
      </c>
      <c r="D28" t="s">
        <v>38</v>
      </c>
      <c r="E28">
        <v>1.71</v>
      </c>
      <c r="F28">
        <v>8.5500000000000007</v>
      </c>
    </row>
    <row r="29" spans="1:6" x14ac:dyDescent="0.2">
      <c r="A29" t="s">
        <v>70</v>
      </c>
      <c r="B29" t="s">
        <v>71</v>
      </c>
      <c r="C29" t="s">
        <v>41</v>
      </c>
      <c r="D29" t="s">
        <v>42</v>
      </c>
      <c r="E29">
        <v>1.71</v>
      </c>
      <c r="F29">
        <v>8.5500000000000007</v>
      </c>
    </row>
    <row r="30" spans="1:6" x14ac:dyDescent="0.2">
      <c r="A30" t="s">
        <v>72</v>
      </c>
      <c r="B30" t="s">
        <v>73</v>
      </c>
      <c r="C30" t="s">
        <v>41</v>
      </c>
      <c r="D30" t="s">
        <v>74</v>
      </c>
      <c r="E30">
        <v>1.71</v>
      </c>
      <c r="F30">
        <v>8.5500000000000007</v>
      </c>
    </row>
    <row r="31" spans="1:6" x14ac:dyDescent="0.2">
      <c r="A31" t="s">
        <v>77</v>
      </c>
      <c r="B31" t="s">
        <v>78</v>
      </c>
      <c r="C31" t="s">
        <v>41</v>
      </c>
      <c r="D31" t="s">
        <v>31</v>
      </c>
      <c r="E31">
        <v>1.71</v>
      </c>
      <c r="F31">
        <v>8.5500000000000007</v>
      </c>
    </row>
    <row r="32" spans="1:6" x14ac:dyDescent="0.2">
      <c r="A32" t="s">
        <v>116</v>
      </c>
      <c r="B32" t="s">
        <v>117</v>
      </c>
      <c r="C32" t="s">
        <v>30</v>
      </c>
      <c r="D32" t="s">
        <v>61</v>
      </c>
      <c r="E32">
        <v>1.71</v>
      </c>
      <c r="F32">
        <v>8.5500000000000007</v>
      </c>
    </row>
    <row r="33" spans="1:6" x14ac:dyDescent="0.2">
      <c r="A33" t="s">
        <v>118</v>
      </c>
      <c r="B33" t="s">
        <v>119</v>
      </c>
      <c r="C33" t="s">
        <v>113</v>
      </c>
      <c r="D33" t="s">
        <v>61</v>
      </c>
      <c r="E33">
        <v>1.57</v>
      </c>
      <c r="F33">
        <v>7.85</v>
      </c>
    </row>
    <row r="34" spans="1:6" x14ac:dyDescent="0.2">
      <c r="A34" t="s">
        <v>75</v>
      </c>
      <c r="B34" t="s">
        <v>76</v>
      </c>
      <c r="C34" t="s">
        <v>41</v>
      </c>
      <c r="D34" t="s">
        <v>31</v>
      </c>
      <c r="E34">
        <v>0.28000000000000003</v>
      </c>
      <c r="F34">
        <v>1.4</v>
      </c>
    </row>
    <row r="35" spans="1:6" x14ac:dyDescent="0.2">
      <c r="A35" s="4" t="s">
        <v>100</v>
      </c>
      <c r="E35" s="4">
        <f>SUM(E5:E34)</f>
        <v>99.999999999999957</v>
      </c>
      <c r="F35" s="4">
        <f>SUM(F5:F34)</f>
        <v>500.00000000000006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120</v>
      </c>
    </row>
    <row r="2" spans="1:6" x14ac:dyDescent="0.2">
      <c r="A2" t="s">
        <v>11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121</v>
      </c>
      <c r="B5" t="s">
        <v>122</v>
      </c>
      <c r="C5" t="s">
        <v>123</v>
      </c>
      <c r="D5" t="s">
        <v>31</v>
      </c>
      <c r="E5">
        <v>6</v>
      </c>
      <c r="F5">
        <v>30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>
        <v>6</v>
      </c>
      <c r="F6">
        <v>30</v>
      </c>
    </row>
    <row r="7" spans="1:6" x14ac:dyDescent="0.2">
      <c r="A7" t="s">
        <v>124</v>
      </c>
      <c r="B7" t="s">
        <v>125</v>
      </c>
      <c r="C7" t="s">
        <v>123</v>
      </c>
      <c r="D7" t="s">
        <v>31</v>
      </c>
      <c r="E7">
        <v>6</v>
      </c>
      <c r="F7">
        <v>30</v>
      </c>
    </row>
    <row r="8" spans="1:6" x14ac:dyDescent="0.2">
      <c r="A8" t="s">
        <v>126</v>
      </c>
      <c r="B8" t="s">
        <v>127</v>
      </c>
      <c r="C8" t="s">
        <v>123</v>
      </c>
      <c r="D8" t="s">
        <v>48</v>
      </c>
      <c r="E8">
        <v>6</v>
      </c>
      <c r="F8">
        <v>30</v>
      </c>
    </row>
    <row r="9" spans="1:6" x14ac:dyDescent="0.2">
      <c r="A9" t="s">
        <v>128</v>
      </c>
      <c r="B9" t="s">
        <v>129</v>
      </c>
      <c r="C9" t="s">
        <v>123</v>
      </c>
      <c r="D9" t="s">
        <v>130</v>
      </c>
      <c r="E9">
        <v>5.99</v>
      </c>
      <c r="F9">
        <v>29.95</v>
      </c>
    </row>
    <row r="10" spans="1:6" x14ac:dyDescent="0.2">
      <c r="A10" t="s">
        <v>131</v>
      </c>
      <c r="B10" t="s">
        <v>132</v>
      </c>
      <c r="C10" t="s">
        <v>133</v>
      </c>
      <c r="D10" t="s">
        <v>31</v>
      </c>
      <c r="E10">
        <v>5.03</v>
      </c>
      <c r="F10">
        <v>25.15</v>
      </c>
    </row>
    <row r="11" spans="1:6" x14ac:dyDescent="0.2">
      <c r="A11" t="s">
        <v>134</v>
      </c>
      <c r="B11" t="s">
        <v>135</v>
      </c>
      <c r="C11" t="s">
        <v>123</v>
      </c>
      <c r="D11" t="s">
        <v>31</v>
      </c>
      <c r="E11">
        <v>5.03</v>
      </c>
      <c r="F11">
        <v>25.15</v>
      </c>
    </row>
    <row r="12" spans="1:6" x14ac:dyDescent="0.2">
      <c r="A12" t="s">
        <v>136</v>
      </c>
      <c r="B12" t="s">
        <v>137</v>
      </c>
      <c r="C12" t="s">
        <v>123</v>
      </c>
      <c r="D12" t="s">
        <v>48</v>
      </c>
      <c r="E12">
        <v>4.79</v>
      </c>
      <c r="F12">
        <v>23.95</v>
      </c>
    </row>
    <row r="13" spans="1:6" x14ac:dyDescent="0.2">
      <c r="A13" t="s">
        <v>64</v>
      </c>
      <c r="B13" t="s">
        <v>65</v>
      </c>
      <c r="C13" t="s">
        <v>30</v>
      </c>
      <c r="D13" t="s">
        <v>31</v>
      </c>
      <c r="E13">
        <v>4.79</v>
      </c>
      <c r="F13">
        <v>23.95</v>
      </c>
    </row>
    <row r="14" spans="1:6" x14ac:dyDescent="0.2">
      <c r="A14" t="s">
        <v>66</v>
      </c>
      <c r="B14" t="s">
        <v>67</v>
      </c>
      <c r="C14" t="s">
        <v>30</v>
      </c>
      <c r="D14" t="s">
        <v>48</v>
      </c>
      <c r="E14">
        <v>4.79</v>
      </c>
      <c r="F14">
        <v>23.95</v>
      </c>
    </row>
    <row r="15" spans="1:6" x14ac:dyDescent="0.2">
      <c r="A15" t="s">
        <v>98</v>
      </c>
      <c r="B15" t="s">
        <v>99</v>
      </c>
      <c r="C15" t="s">
        <v>41</v>
      </c>
      <c r="D15" t="s">
        <v>31</v>
      </c>
      <c r="E15">
        <v>4.07</v>
      </c>
      <c r="F15">
        <v>20.350000000000001</v>
      </c>
    </row>
    <row r="16" spans="1:6" x14ac:dyDescent="0.2">
      <c r="A16" t="s">
        <v>39</v>
      </c>
      <c r="B16" t="s">
        <v>40</v>
      </c>
      <c r="C16" t="s">
        <v>41</v>
      </c>
      <c r="D16" t="s">
        <v>42</v>
      </c>
      <c r="E16">
        <v>3.59</v>
      </c>
      <c r="F16">
        <v>17.95</v>
      </c>
    </row>
    <row r="17" spans="1:6" x14ac:dyDescent="0.2">
      <c r="A17" t="s">
        <v>138</v>
      </c>
      <c r="B17" t="s">
        <v>139</v>
      </c>
      <c r="C17" t="s">
        <v>123</v>
      </c>
      <c r="D17" t="s">
        <v>140</v>
      </c>
      <c r="E17">
        <v>3.59</v>
      </c>
      <c r="F17">
        <v>17.95</v>
      </c>
    </row>
    <row r="18" spans="1:6" x14ac:dyDescent="0.2">
      <c r="A18" t="s">
        <v>55</v>
      </c>
      <c r="B18" t="s">
        <v>56</v>
      </c>
      <c r="C18" t="s">
        <v>30</v>
      </c>
      <c r="D18" t="s">
        <v>31</v>
      </c>
      <c r="E18">
        <v>3.13</v>
      </c>
      <c r="F18">
        <v>15.65</v>
      </c>
    </row>
    <row r="19" spans="1:6" x14ac:dyDescent="0.2">
      <c r="A19" t="s">
        <v>43</v>
      </c>
      <c r="B19" t="s">
        <v>44</v>
      </c>
      <c r="C19" t="s">
        <v>41</v>
      </c>
      <c r="D19" t="s">
        <v>45</v>
      </c>
      <c r="E19">
        <v>3.11</v>
      </c>
      <c r="F19">
        <v>15.55</v>
      </c>
    </row>
    <row r="20" spans="1:6" x14ac:dyDescent="0.2">
      <c r="A20" t="s">
        <v>46</v>
      </c>
      <c r="B20" t="s">
        <v>47</v>
      </c>
      <c r="C20" t="s">
        <v>41</v>
      </c>
      <c r="D20" t="s">
        <v>48</v>
      </c>
      <c r="E20">
        <v>3.11</v>
      </c>
      <c r="F20">
        <v>15.55</v>
      </c>
    </row>
    <row r="21" spans="1:6" x14ac:dyDescent="0.2">
      <c r="A21" t="s">
        <v>104</v>
      </c>
      <c r="B21" t="s">
        <v>105</v>
      </c>
      <c r="C21" t="s">
        <v>30</v>
      </c>
      <c r="D21" t="s">
        <v>61</v>
      </c>
      <c r="E21">
        <v>3.11</v>
      </c>
      <c r="F21">
        <v>15.55</v>
      </c>
    </row>
    <row r="22" spans="1:6" x14ac:dyDescent="0.2">
      <c r="A22" t="s">
        <v>49</v>
      </c>
      <c r="B22" t="s">
        <v>50</v>
      </c>
      <c r="C22" t="s">
        <v>41</v>
      </c>
      <c r="D22" t="s">
        <v>31</v>
      </c>
      <c r="E22">
        <v>2.87</v>
      </c>
      <c r="F22">
        <v>14.35</v>
      </c>
    </row>
    <row r="23" spans="1:6" x14ac:dyDescent="0.2">
      <c r="A23" t="s">
        <v>141</v>
      </c>
      <c r="B23" t="s">
        <v>142</v>
      </c>
      <c r="C23" t="s">
        <v>123</v>
      </c>
      <c r="D23" t="s">
        <v>143</v>
      </c>
      <c r="E23">
        <v>2.4</v>
      </c>
      <c r="F23">
        <v>12</v>
      </c>
    </row>
    <row r="24" spans="1:6" x14ac:dyDescent="0.2">
      <c r="A24" t="s">
        <v>144</v>
      </c>
      <c r="B24" t="s">
        <v>145</v>
      </c>
      <c r="C24" t="s">
        <v>123</v>
      </c>
      <c r="D24" t="s">
        <v>31</v>
      </c>
      <c r="E24">
        <v>2.4</v>
      </c>
      <c r="F24">
        <v>12</v>
      </c>
    </row>
    <row r="25" spans="1:6" x14ac:dyDescent="0.2">
      <c r="A25" t="s">
        <v>57</v>
      </c>
      <c r="B25" t="s">
        <v>58</v>
      </c>
      <c r="C25" t="s">
        <v>41</v>
      </c>
      <c r="D25" t="s">
        <v>48</v>
      </c>
      <c r="E25">
        <v>2.16</v>
      </c>
      <c r="F25">
        <v>10.8</v>
      </c>
    </row>
    <row r="26" spans="1:6" x14ac:dyDescent="0.2">
      <c r="A26" t="s">
        <v>59</v>
      </c>
      <c r="B26" t="s">
        <v>60</v>
      </c>
      <c r="C26" t="s">
        <v>41</v>
      </c>
      <c r="D26" t="s">
        <v>61</v>
      </c>
      <c r="E26">
        <v>1.92</v>
      </c>
      <c r="F26">
        <v>9.6</v>
      </c>
    </row>
    <row r="27" spans="1:6" x14ac:dyDescent="0.2">
      <c r="A27" t="s">
        <v>68</v>
      </c>
      <c r="B27" t="s">
        <v>69</v>
      </c>
      <c r="C27" t="s">
        <v>41</v>
      </c>
      <c r="D27" t="s">
        <v>48</v>
      </c>
      <c r="E27">
        <v>1.56</v>
      </c>
      <c r="F27">
        <v>7.8</v>
      </c>
    </row>
    <row r="28" spans="1:6" x14ac:dyDescent="0.2">
      <c r="A28" t="s">
        <v>70</v>
      </c>
      <c r="B28" t="s">
        <v>71</v>
      </c>
      <c r="C28" t="s">
        <v>41</v>
      </c>
      <c r="D28" t="s">
        <v>42</v>
      </c>
      <c r="E28">
        <v>1.44</v>
      </c>
      <c r="F28">
        <v>7.2</v>
      </c>
    </row>
    <row r="29" spans="1:6" x14ac:dyDescent="0.2">
      <c r="A29" t="s">
        <v>72</v>
      </c>
      <c r="B29" t="s">
        <v>73</v>
      </c>
      <c r="C29" t="s">
        <v>41</v>
      </c>
      <c r="D29" t="s">
        <v>74</v>
      </c>
      <c r="E29">
        <v>1.44</v>
      </c>
      <c r="F29">
        <v>7.2</v>
      </c>
    </row>
    <row r="30" spans="1:6" x14ac:dyDescent="0.2">
      <c r="A30" t="s">
        <v>116</v>
      </c>
      <c r="B30" t="s">
        <v>117</v>
      </c>
      <c r="C30" t="s">
        <v>30</v>
      </c>
      <c r="D30" t="s">
        <v>61</v>
      </c>
      <c r="E30">
        <v>1.44</v>
      </c>
      <c r="F30">
        <v>7.2</v>
      </c>
    </row>
    <row r="31" spans="1:6" x14ac:dyDescent="0.2">
      <c r="A31" t="s">
        <v>118</v>
      </c>
      <c r="B31" t="s">
        <v>119</v>
      </c>
      <c r="C31" t="s">
        <v>113</v>
      </c>
      <c r="D31" t="s">
        <v>61</v>
      </c>
      <c r="E31">
        <v>1.32</v>
      </c>
      <c r="F31">
        <v>6.6</v>
      </c>
    </row>
    <row r="32" spans="1:6" x14ac:dyDescent="0.2">
      <c r="A32" t="s">
        <v>81</v>
      </c>
      <c r="B32" t="s">
        <v>82</v>
      </c>
      <c r="C32" t="s">
        <v>41</v>
      </c>
      <c r="D32" t="s">
        <v>74</v>
      </c>
      <c r="E32">
        <v>1.32</v>
      </c>
      <c r="F32">
        <v>6.6</v>
      </c>
    </row>
    <row r="33" spans="1:6" x14ac:dyDescent="0.2">
      <c r="A33" t="s">
        <v>146</v>
      </c>
      <c r="B33" t="s">
        <v>147</v>
      </c>
      <c r="C33" t="s">
        <v>123</v>
      </c>
      <c r="D33" t="s">
        <v>42</v>
      </c>
      <c r="E33">
        <v>1.32</v>
      </c>
      <c r="F33">
        <v>6.6</v>
      </c>
    </row>
    <row r="34" spans="1:6" x14ac:dyDescent="0.2">
      <c r="A34" t="s">
        <v>77</v>
      </c>
      <c r="B34" t="s">
        <v>78</v>
      </c>
      <c r="C34" t="s">
        <v>41</v>
      </c>
      <c r="D34" t="s">
        <v>31</v>
      </c>
      <c r="E34">
        <v>0.28000000000000003</v>
      </c>
      <c r="F34">
        <v>1.4</v>
      </c>
    </row>
    <row r="35" spans="1:6" x14ac:dyDescent="0.2">
      <c r="A35" s="4" t="s">
        <v>100</v>
      </c>
      <c r="E35" s="4">
        <f>SUM(E5:E34)</f>
        <v>99.999999999999986</v>
      </c>
      <c r="F35" s="4">
        <f>SUM(F5:F34)</f>
        <v>500.00000000000006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148</v>
      </c>
    </row>
    <row r="2" spans="1:6" x14ac:dyDescent="0.2">
      <c r="A2" t="s">
        <v>13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131</v>
      </c>
      <c r="B5" t="s">
        <v>132</v>
      </c>
      <c r="C5" t="s">
        <v>133</v>
      </c>
      <c r="D5" t="s">
        <v>31</v>
      </c>
      <c r="E5">
        <v>6</v>
      </c>
      <c r="F5">
        <v>30</v>
      </c>
    </row>
    <row r="6" spans="1:6" x14ac:dyDescent="0.2">
      <c r="A6" t="s">
        <v>98</v>
      </c>
      <c r="B6" t="s">
        <v>99</v>
      </c>
      <c r="C6" t="s">
        <v>41</v>
      </c>
      <c r="D6" t="s">
        <v>31</v>
      </c>
      <c r="E6">
        <v>6</v>
      </c>
      <c r="F6">
        <v>30</v>
      </c>
    </row>
    <row r="7" spans="1:6" x14ac:dyDescent="0.2">
      <c r="A7" t="s">
        <v>39</v>
      </c>
      <c r="B7" t="s">
        <v>40</v>
      </c>
      <c r="C7" t="s">
        <v>41</v>
      </c>
      <c r="D7" t="s">
        <v>42</v>
      </c>
      <c r="E7">
        <v>5.6</v>
      </c>
      <c r="F7">
        <v>28</v>
      </c>
    </row>
    <row r="8" spans="1:6" x14ac:dyDescent="0.2">
      <c r="A8" t="s">
        <v>149</v>
      </c>
      <c r="B8" t="s">
        <v>150</v>
      </c>
      <c r="C8" t="s">
        <v>133</v>
      </c>
      <c r="D8" t="s">
        <v>31</v>
      </c>
      <c r="E8">
        <v>5.09</v>
      </c>
      <c r="F8">
        <v>25.45</v>
      </c>
    </row>
    <row r="9" spans="1:6" x14ac:dyDescent="0.2">
      <c r="A9" t="s">
        <v>151</v>
      </c>
      <c r="B9" t="s">
        <v>152</v>
      </c>
      <c r="C9" t="s">
        <v>37</v>
      </c>
      <c r="D9" t="s">
        <v>153</v>
      </c>
      <c r="E9">
        <v>4.8099999999999996</v>
      </c>
      <c r="F9">
        <v>24.05</v>
      </c>
    </row>
    <row r="10" spans="1:6" x14ac:dyDescent="0.2">
      <c r="A10" t="s">
        <v>43</v>
      </c>
      <c r="B10" t="s">
        <v>44</v>
      </c>
      <c r="C10" t="s">
        <v>41</v>
      </c>
      <c r="D10" t="s">
        <v>45</v>
      </c>
      <c r="E10">
        <v>4.8099999999999996</v>
      </c>
      <c r="F10">
        <v>24.05</v>
      </c>
    </row>
    <row r="11" spans="1:6" x14ac:dyDescent="0.2">
      <c r="A11" t="s">
        <v>46</v>
      </c>
      <c r="B11" t="s">
        <v>47</v>
      </c>
      <c r="C11" t="s">
        <v>41</v>
      </c>
      <c r="D11" t="s">
        <v>48</v>
      </c>
      <c r="E11">
        <v>4.8099999999999996</v>
      </c>
      <c r="F11">
        <v>24.05</v>
      </c>
    </row>
    <row r="12" spans="1:6" x14ac:dyDescent="0.2">
      <c r="A12" t="s">
        <v>49</v>
      </c>
      <c r="B12" t="s">
        <v>50</v>
      </c>
      <c r="C12" t="s">
        <v>41</v>
      </c>
      <c r="D12" t="s">
        <v>31</v>
      </c>
      <c r="E12">
        <v>4.4400000000000004</v>
      </c>
      <c r="F12">
        <v>22.2</v>
      </c>
    </row>
    <row r="13" spans="1:6" x14ac:dyDescent="0.2">
      <c r="A13" t="s">
        <v>154</v>
      </c>
      <c r="B13" t="s">
        <v>155</v>
      </c>
      <c r="C13" t="s">
        <v>133</v>
      </c>
      <c r="D13" t="s">
        <v>61</v>
      </c>
      <c r="E13">
        <v>3.96</v>
      </c>
      <c r="F13">
        <v>19.8</v>
      </c>
    </row>
    <row r="14" spans="1:6" x14ac:dyDescent="0.2">
      <c r="A14" t="s">
        <v>156</v>
      </c>
      <c r="B14" t="s">
        <v>157</v>
      </c>
      <c r="C14" t="s">
        <v>37</v>
      </c>
      <c r="D14" t="s">
        <v>61</v>
      </c>
      <c r="E14">
        <v>3.7</v>
      </c>
      <c r="F14">
        <v>18.5</v>
      </c>
    </row>
    <row r="15" spans="1:6" x14ac:dyDescent="0.2">
      <c r="A15" t="s">
        <v>51</v>
      </c>
      <c r="B15" t="s">
        <v>52</v>
      </c>
      <c r="C15" t="s">
        <v>37</v>
      </c>
      <c r="D15" t="s">
        <v>48</v>
      </c>
      <c r="E15">
        <v>3.7</v>
      </c>
      <c r="F15">
        <v>18.5</v>
      </c>
    </row>
    <row r="16" spans="1:6" x14ac:dyDescent="0.2">
      <c r="A16" t="s">
        <v>53</v>
      </c>
      <c r="B16" t="s">
        <v>54</v>
      </c>
      <c r="C16" t="s">
        <v>41</v>
      </c>
      <c r="D16" t="s">
        <v>34</v>
      </c>
      <c r="E16">
        <v>3.7</v>
      </c>
      <c r="F16">
        <v>18.5</v>
      </c>
    </row>
    <row r="17" spans="1:6" x14ac:dyDescent="0.2">
      <c r="A17" t="s">
        <v>158</v>
      </c>
      <c r="B17" t="s">
        <v>159</v>
      </c>
      <c r="C17" t="s">
        <v>113</v>
      </c>
      <c r="D17" t="s">
        <v>140</v>
      </c>
      <c r="E17">
        <v>3.33</v>
      </c>
      <c r="F17">
        <v>16.649999999999999</v>
      </c>
    </row>
    <row r="18" spans="1:6" x14ac:dyDescent="0.2">
      <c r="A18" t="s">
        <v>57</v>
      </c>
      <c r="B18" t="s">
        <v>58</v>
      </c>
      <c r="C18" t="s">
        <v>41</v>
      </c>
      <c r="D18" t="s">
        <v>48</v>
      </c>
      <c r="E18">
        <v>3.33</v>
      </c>
      <c r="F18">
        <v>16.649999999999999</v>
      </c>
    </row>
    <row r="19" spans="1:6" x14ac:dyDescent="0.2">
      <c r="A19" t="s">
        <v>79</v>
      </c>
      <c r="B19" t="s">
        <v>80</v>
      </c>
      <c r="C19" t="s">
        <v>41</v>
      </c>
      <c r="D19" t="s">
        <v>31</v>
      </c>
      <c r="E19">
        <v>3.02</v>
      </c>
      <c r="F19">
        <v>15.1</v>
      </c>
    </row>
    <row r="20" spans="1:6" x14ac:dyDescent="0.2">
      <c r="A20" t="s">
        <v>59</v>
      </c>
      <c r="B20" t="s">
        <v>60</v>
      </c>
      <c r="C20" t="s">
        <v>41</v>
      </c>
      <c r="D20" t="s">
        <v>61</v>
      </c>
      <c r="E20">
        <v>2.96</v>
      </c>
      <c r="F20">
        <v>14.8</v>
      </c>
    </row>
    <row r="21" spans="1:6" x14ac:dyDescent="0.2">
      <c r="A21" t="s">
        <v>62</v>
      </c>
      <c r="B21" t="s">
        <v>63</v>
      </c>
      <c r="C21" t="s">
        <v>41</v>
      </c>
      <c r="D21" t="s">
        <v>31</v>
      </c>
      <c r="E21">
        <v>2.96</v>
      </c>
      <c r="F21">
        <v>14.8</v>
      </c>
    </row>
    <row r="22" spans="1:6" x14ac:dyDescent="0.2">
      <c r="A22" t="s">
        <v>160</v>
      </c>
      <c r="B22" t="s">
        <v>161</v>
      </c>
      <c r="C22" t="s">
        <v>113</v>
      </c>
      <c r="D22" t="s">
        <v>162</v>
      </c>
      <c r="E22">
        <v>2.78</v>
      </c>
      <c r="F22">
        <v>13.9</v>
      </c>
    </row>
    <row r="23" spans="1:6" x14ac:dyDescent="0.2">
      <c r="A23" t="s">
        <v>68</v>
      </c>
      <c r="B23" t="s">
        <v>69</v>
      </c>
      <c r="C23" t="s">
        <v>41</v>
      </c>
      <c r="D23" t="s">
        <v>48</v>
      </c>
      <c r="E23">
        <v>2.41</v>
      </c>
      <c r="F23">
        <v>12.05</v>
      </c>
    </row>
    <row r="24" spans="1:6" x14ac:dyDescent="0.2">
      <c r="A24" t="s">
        <v>111</v>
      </c>
      <c r="B24" t="s">
        <v>112</v>
      </c>
      <c r="C24" t="s">
        <v>113</v>
      </c>
      <c r="D24" t="s">
        <v>48</v>
      </c>
      <c r="E24">
        <v>2.2200000000000002</v>
      </c>
      <c r="F24">
        <v>11.1</v>
      </c>
    </row>
    <row r="25" spans="1:6" x14ac:dyDescent="0.2">
      <c r="A25" t="s">
        <v>163</v>
      </c>
      <c r="B25" t="s">
        <v>164</v>
      </c>
      <c r="C25" t="s">
        <v>37</v>
      </c>
      <c r="D25" t="s">
        <v>31</v>
      </c>
      <c r="E25">
        <v>2.2200000000000002</v>
      </c>
      <c r="F25">
        <v>11.1</v>
      </c>
    </row>
    <row r="26" spans="1:6" x14ac:dyDescent="0.2">
      <c r="A26" t="s">
        <v>114</v>
      </c>
      <c r="B26" t="s">
        <v>115</v>
      </c>
      <c r="C26" t="s">
        <v>37</v>
      </c>
      <c r="D26" t="s">
        <v>38</v>
      </c>
      <c r="E26">
        <v>2.2200000000000002</v>
      </c>
      <c r="F26">
        <v>11.1</v>
      </c>
    </row>
    <row r="27" spans="1:6" x14ac:dyDescent="0.2">
      <c r="A27" t="s">
        <v>70</v>
      </c>
      <c r="B27" t="s">
        <v>71</v>
      </c>
      <c r="C27" t="s">
        <v>41</v>
      </c>
      <c r="D27" t="s">
        <v>42</v>
      </c>
      <c r="E27">
        <v>2.2200000000000002</v>
      </c>
      <c r="F27">
        <v>11.1</v>
      </c>
    </row>
    <row r="28" spans="1:6" x14ac:dyDescent="0.2">
      <c r="A28" t="s">
        <v>72</v>
      </c>
      <c r="B28" t="s">
        <v>73</v>
      </c>
      <c r="C28" t="s">
        <v>41</v>
      </c>
      <c r="D28" t="s">
        <v>74</v>
      </c>
      <c r="E28">
        <v>2.2200000000000002</v>
      </c>
      <c r="F28">
        <v>11.1</v>
      </c>
    </row>
    <row r="29" spans="1:6" x14ac:dyDescent="0.2">
      <c r="A29" t="s">
        <v>75</v>
      </c>
      <c r="B29" t="s">
        <v>76</v>
      </c>
      <c r="C29" t="s">
        <v>41</v>
      </c>
      <c r="D29" t="s">
        <v>31</v>
      </c>
      <c r="E29">
        <v>2.2200000000000002</v>
      </c>
      <c r="F29">
        <v>11.1</v>
      </c>
    </row>
    <row r="30" spans="1:6" x14ac:dyDescent="0.2">
      <c r="A30" t="s">
        <v>77</v>
      </c>
      <c r="B30" t="s">
        <v>78</v>
      </c>
      <c r="C30" t="s">
        <v>41</v>
      </c>
      <c r="D30" t="s">
        <v>31</v>
      </c>
      <c r="E30">
        <v>2.2200000000000002</v>
      </c>
      <c r="F30">
        <v>11.1</v>
      </c>
    </row>
    <row r="31" spans="1:6" x14ac:dyDescent="0.2">
      <c r="A31" t="s">
        <v>118</v>
      </c>
      <c r="B31" t="s">
        <v>119</v>
      </c>
      <c r="C31" t="s">
        <v>113</v>
      </c>
      <c r="D31" t="s">
        <v>61</v>
      </c>
      <c r="E31">
        <v>2.04</v>
      </c>
      <c r="F31">
        <v>10.199999999999999</v>
      </c>
    </row>
    <row r="32" spans="1:6" x14ac:dyDescent="0.2">
      <c r="A32" t="s">
        <v>165</v>
      </c>
      <c r="B32" t="s">
        <v>166</v>
      </c>
      <c r="C32" t="s">
        <v>37</v>
      </c>
      <c r="D32" t="s">
        <v>31</v>
      </c>
      <c r="E32">
        <v>2.04</v>
      </c>
      <c r="F32">
        <v>10.199999999999999</v>
      </c>
    </row>
    <row r="33" spans="1:6" x14ac:dyDescent="0.2">
      <c r="A33" t="s">
        <v>81</v>
      </c>
      <c r="B33" t="s">
        <v>82</v>
      </c>
      <c r="C33" t="s">
        <v>41</v>
      </c>
      <c r="D33" t="s">
        <v>74</v>
      </c>
      <c r="E33">
        <v>2.04</v>
      </c>
      <c r="F33">
        <v>10.199999999999999</v>
      </c>
    </row>
    <row r="34" spans="1:6" x14ac:dyDescent="0.2">
      <c r="A34" t="s">
        <v>35</v>
      </c>
      <c r="B34" t="s">
        <v>36</v>
      </c>
      <c r="C34" t="s">
        <v>37</v>
      </c>
      <c r="D34" t="s">
        <v>38</v>
      </c>
      <c r="E34">
        <v>0.93</v>
      </c>
      <c r="F34">
        <v>4.6500000000000004</v>
      </c>
    </row>
    <row r="35" spans="1:6" x14ac:dyDescent="0.2">
      <c r="A35" s="4" t="s">
        <v>100</v>
      </c>
      <c r="E35" s="4">
        <f>SUM(E5:E34)</f>
        <v>100.00000000000001</v>
      </c>
      <c r="F35" s="4">
        <f>SUM(F5:F34)</f>
        <v>500.00000000000011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9" sqref="K19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225</v>
      </c>
    </row>
    <row r="2" spans="1:6" x14ac:dyDescent="0.2">
      <c r="A2" t="s">
        <v>14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124</v>
      </c>
      <c r="B5" t="s">
        <v>125</v>
      </c>
      <c r="C5" t="s">
        <v>123</v>
      </c>
      <c r="D5" t="s">
        <v>31</v>
      </c>
      <c r="E5">
        <v>6</v>
      </c>
      <c r="F5">
        <v>30</v>
      </c>
    </row>
    <row r="6" spans="1:6" x14ac:dyDescent="0.2">
      <c r="A6" t="s">
        <v>167</v>
      </c>
      <c r="B6" t="s">
        <v>168</v>
      </c>
      <c r="C6" t="s">
        <v>169</v>
      </c>
      <c r="D6" t="s">
        <v>31</v>
      </c>
      <c r="E6">
        <v>6</v>
      </c>
      <c r="F6">
        <v>30</v>
      </c>
    </row>
    <row r="7" spans="1:6" x14ac:dyDescent="0.2">
      <c r="A7" t="s">
        <v>121</v>
      </c>
      <c r="B7" t="s">
        <v>122</v>
      </c>
      <c r="C7" t="s">
        <v>123</v>
      </c>
      <c r="D7" t="s">
        <v>31</v>
      </c>
      <c r="E7">
        <v>5.31</v>
      </c>
      <c r="F7">
        <v>26.55</v>
      </c>
    </row>
    <row r="8" spans="1:6" x14ac:dyDescent="0.2">
      <c r="A8" t="s">
        <v>28</v>
      </c>
      <c r="B8" t="s">
        <v>29</v>
      </c>
      <c r="C8" t="s">
        <v>30</v>
      </c>
      <c r="D8" t="s">
        <v>31</v>
      </c>
      <c r="E8">
        <v>5.3</v>
      </c>
      <c r="F8">
        <v>26.5</v>
      </c>
    </row>
    <row r="9" spans="1:6" x14ac:dyDescent="0.2">
      <c r="A9" t="s">
        <v>170</v>
      </c>
      <c r="B9" t="s">
        <v>171</v>
      </c>
      <c r="C9" t="s">
        <v>169</v>
      </c>
      <c r="D9" t="s">
        <v>31</v>
      </c>
      <c r="E9">
        <v>5.3</v>
      </c>
      <c r="F9">
        <v>26.5</v>
      </c>
    </row>
    <row r="10" spans="1:6" x14ac:dyDescent="0.2">
      <c r="A10" t="s">
        <v>172</v>
      </c>
      <c r="B10" t="s">
        <v>173</v>
      </c>
      <c r="C10" t="s">
        <v>169</v>
      </c>
      <c r="D10" t="s">
        <v>31</v>
      </c>
      <c r="E10">
        <v>5.3</v>
      </c>
      <c r="F10">
        <v>26.5</v>
      </c>
    </row>
    <row r="11" spans="1:6" x14ac:dyDescent="0.2">
      <c r="A11" t="s">
        <v>174</v>
      </c>
      <c r="B11" t="s">
        <v>175</v>
      </c>
      <c r="C11" t="s">
        <v>176</v>
      </c>
      <c r="D11" t="s">
        <v>31</v>
      </c>
      <c r="E11">
        <v>5.25</v>
      </c>
      <c r="F11">
        <v>26.25</v>
      </c>
    </row>
    <row r="12" spans="1:6" x14ac:dyDescent="0.2">
      <c r="A12" t="s">
        <v>126</v>
      </c>
      <c r="B12" t="s">
        <v>127</v>
      </c>
      <c r="C12" t="s">
        <v>123</v>
      </c>
      <c r="D12" t="s">
        <v>48</v>
      </c>
      <c r="E12">
        <v>4.1500000000000004</v>
      </c>
      <c r="F12">
        <v>20.75</v>
      </c>
    </row>
    <row r="13" spans="1:6" x14ac:dyDescent="0.2">
      <c r="A13" t="s">
        <v>177</v>
      </c>
      <c r="B13" t="s">
        <v>178</v>
      </c>
      <c r="C13" t="s">
        <v>169</v>
      </c>
      <c r="D13" t="s">
        <v>45</v>
      </c>
      <c r="E13">
        <v>4.1500000000000004</v>
      </c>
      <c r="F13">
        <v>20.75</v>
      </c>
    </row>
    <row r="14" spans="1:6" x14ac:dyDescent="0.2">
      <c r="A14" t="s">
        <v>55</v>
      </c>
      <c r="B14" t="s">
        <v>56</v>
      </c>
      <c r="C14" t="s">
        <v>30</v>
      </c>
      <c r="D14" t="s">
        <v>31</v>
      </c>
      <c r="E14">
        <v>3.87</v>
      </c>
      <c r="F14">
        <v>19.350000000000001</v>
      </c>
    </row>
    <row r="15" spans="1:6" x14ac:dyDescent="0.2">
      <c r="A15" t="s">
        <v>32</v>
      </c>
      <c r="B15" t="s">
        <v>33</v>
      </c>
      <c r="C15" t="s">
        <v>30</v>
      </c>
      <c r="D15" t="s">
        <v>34</v>
      </c>
      <c r="E15">
        <v>3.04</v>
      </c>
      <c r="F15">
        <v>15.2</v>
      </c>
    </row>
    <row r="16" spans="1:6" x14ac:dyDescent="0.2">
      <c r="A16" t="s">
        <v>179</v>
      </c>
      <c r="B16" t="s">
        <v>180</v>
      </c>
      <c r="C16" t="s">
        <v>176</v>
      </c>
      <c r="D16" t="s">
        <v>34</v>
      </c>
      <c r="E16">
        <v>3.04</v>
      </c>
      <c r="F16">
        <v>15.2</v>
      </c>
    </row>
    <row r="17" spans="1:6" x14ac:dyDescent="0.2">
      <c r="A17" t="s">
        <v>181</v>
      </c>
      <c r="B17" t="s">
        <v>182</v>
      </c>
      <c r="C17" t="s">
        <v>176</v>
      </c>
      <c r="D17" t="s">
        <v>34</v>
      </c>
      <c r="E17">
        <v>3.04</v>
      </c>
      <c r="F17">
        <v>15.2</v>
      </c>
    </row>
    <row r="18" spans="1:6" x14ac:dyDescent="0.2">
      <c r="A18" t="s">
        <v>183</v>
      </c>
      <c r="B18" t="s">
        <v>184</v>
      </c>
      <c r="C18" t="s">
        <v>176</v>
      </c>
      <c r="D18" t="s">
        <v>61</v>
      </c>
      <c r="E18">
        <v>3.04</v>
      </c>
      <c r="F18">
        <v>15.2</v>
      </c>
    </row>
    <row r="19" spans="1:6" x14ac:dyDescent="0.2">
      <c r="A19" t="s">
        <v>154</v>
      </c>
      <c r="B19" t="s">
        <v>155</v>
      </c>
      <c r="C19" t="s">
        <v>133</v>
      </c>
      <c r="D19" t="s">
        <v>61</v>
      </c>
      <c r="E19">
        <v>2.9</v>
      </c>
      <c r="F19">
        <v>14.5</v>
      </c>
    </row>
    <row r="20" spans="1:6" x14ac:dyDescent="0.2">
      <c r="A20" t="s">
        <v>35</v>
      </c>
      <c r="B20" t="s">
        <v>36</v>
      </c>
      <c r="C20" t="s">
        <v>37</v>
      </c>
      <c r="D20" t="s">
        <v>38</v>
      </c>
      <c r="E20">
        <v>2.76</v>
      </c>
      <c r="F20">
        <v>13.8</v>
      </c>
    </row>
    <row r="21" spans="1:6" x14ac:dyDescent="0.2">
      <c r="A21" t="s">
        <v>136</v>
      </c>
      <c r="B21" t="s">
        <v>137</v>
      </c>
      <c r="C21" t="s">
        <v>123</v>
      </c>
      <c r="D21" t="s">
        <v>48</v>
      </c>
      <c r="E21">
        <v>2.76</v>
      </c>
      <c r="F21">
        <v>13.8</v>
      </c>
    </row>
    <row r="22" spans="1:6" x14ac:dyDescent="0.2">
      <c r="A22" t="s">
        <v>64</v>
      </c>
      <c r="B22" t="s">
        <v>65</v>
      </c>
      <c r="C22" t="s">
        <v>30</v>
      </c>
      <c r="D22" t="s">
        <v>31</v>
      </c>
      <c r="E22">
        <v>2.76</v>
      </c>
      <c r="F22">
        <v>13.8</v>
      </c>
    </row>
    <row r="23" spans="1:6" x14ac:dyDescent="0.2">
      <c r="A23" t="s">
        <v>66</v>
      </c>
      <c r="B23" t="s">
        <v>67</v>
      </c>
      <c r="C23" t="s">
        <v>30</v>
      </c>
      <c r="D23" t="s">
        <v>48</v>
      </c>
      <c r="E23">
        <v>2.76</v>
      </c>
      <c r="F23">
        <v>13.8</v>
      </c>
    </row>
    <row r="24" spans="1:6" x14ac:dyDescent="0.2">
      <c r="A24" t="s">
        <v>185</v>
      </c>
      <c r="B24" t="s">
        <v>186</v>
      </c>
      <c r="C24" t="s">
        <v>176</v>
      </c>
      <c r="D24" t="s">
        <v>31</v>
      </c>
      <c r="E24">
        <v>2.63</v>
      </c>
      <c r="F24">
        <v>13.15</v>
      </c>
    </row>
    <row r="25" spans="1:6" x14ac:dyDescent="0.2">
      <c r="A25" t="s">
        <v>98</v>
      </c>
      <c r="B25" t="s">
        <v>99</v>
      </c>
      <c r="C25" t="s">
        <v>41</v>
      </c>
      <c r="D25" t="s">
        <v>31</v>
      </c>
      <c r="E25">
        <v>2.35</v>
      </c>
      <c r="F25">
        <v>11.75</v>
      </c>
    </row>
    <row r="26" spans="1:6" x14ac:dyDescent="0.2">
      <c r="A26" t="s">
        <v>187</v>
      </c>
      <c r="B26" t="s">
        <v>188</v>
      </c>
      <c r="C26" t="s">
        <v>176</v>
      </c>
      <c r="D26" t="s">
        <v>31</v>
      </c>
      <c r="E26">
        <v>2.21</v>
      </c>
      <c r="F26">
        <v>11.05</v>
      </c>
    </row>
    <row r="27" spans="1:6" x14ac:dyDescent="0.2">
      <c r="A27" t="s">
        <v>189</v>
      </c>
      <c r="B27" t="s">
        <v>190</v>
      </c>
      <c r="C27" t="s">
        <v>191</v>
      </c>
      <c r="D27" t="s">
        <v>61</v>
      </c>
      <c r="E27">
        <v>2.21</v>
      </c>
      <c r="F27">
        <v>11.05</v>
      </c>
    </row>
    <row r="28" spans="1:6" x14ac:dyDescent="0.2">
      <c r="A28" t="s">
        <v>39</v>
      </c>
      <c r="B28" t="s">
        <v>40</v>
      </c>
      <c r="C28" t="s">
        <v>41</v>
      </c>
      <c r="D28" t="s">
        <v>42</v>
      </c>
      <c r="E28">
        <v>2.0699999999999998</v>
      </c>
      <c r="F28">
        <v>10.35</v>
      </c>
    </row>
    <row r="29" spans="1:6" x14ac:dyDescent="0.2">
      <c r="A29" t="s">
        <v>138</v>
      </c>
      <c r="B29" t="s">
        <v>139</v>
      </c>
      <c r="C29" t="s">
        <v>123</v>
      </c>
      <c r="D29" t="s">
        <v>140</v>
      </c>
      <c r="E29">
        <v>2.0699999999999998</v>
      </c>
      <c r="F29">
        <v>10.35</v>
      </c>
    </row>
    <row r="30" spans="1:6" x14ac:dyDescent="0.2">
      <c r="A30" t="s">
        <v>192</v>
      </c>
      <c r="B30" t="s">
        <v>193</v>
      </c>
      <c r="C30" t="s">
        <v>169</v>
      </c>
      <c r="D30" t="s">
        <v>31</v>
      </c>
      <c r="E30">
        <v>2.0699999999999998</v>
      </c>
      <c r="F30">
        <v>10.35</v>
      </c>
    </row>
    <row r="31" spans="1:6" x14ac:dyDescent="0.2">
      <c r="A31" t="s">
        <v>194</v>
      </c>
      <c r="B31" t="s">
        <v>195</v>
      </c>
      <c r="C31" t="s">
        <v>176</v>
      </c>
      <c r="D31" t="s">
        <v>31</v>
      </c>
      <c r="E31">
        <v>2.0699999999999998</v>
      </c>
      <c r="F31">
        <v>10.35</v>
      </c>
    </row>
    <row r="32" spans="1:6" x14ac:dyDescent="0.2">
      <c r="A32" t="s">
        <v>196</v>
      </c>
      <c r="B32" t="s">
        <v>197</v>
      </c>
      <c r="C32" t="s">
        <v>133</v>
      </c>
      <c r="D32" t="s">
        <v>48</v>
      </c>
      <c r="E32">
        <v>1.93</v>
      </c>
      <c r="F32">
        <v>9.65</v>
      </c>
    </row>
    <row r="33" spans="1:6" x14ac:dyDescent="0.2">
      <c r="A33" t="s">
        <v>198</v>
      </c>
      <c r="B33" t="s">
        <v>199</v>
      </c>
      <c r="C33" t="s">
        <v>176</v>
      </c>
      <c r="D33" t="s">
        <v>95</v>
      </c>
      <c r="E33">
        <v>1.86</v>
      </c>
      <c r="F33">
        <v>9.3000000000000007</v>
      </c>
    </row>
    <row r="34" spans="1:6" x14ac:dyDescent="0.2">
      <c r="A34" t="s">
        <v>151</v>
      </c>
      <c r="B34" t="s">
        <v>152</v>
      </c>
      <c r="C34" t="s">
        <v>37</v>
      </c>
      <c r="D34" t="s">
        <v>153</v>
      </c>
      <c r="E34">
        <v>1.8</v>
      </c>
      <c r="F34">
        <v>9</v>
      </c>
    </row>
    <row r="35" spans="1:6" x14ac:dyDescent="0.2">
      <c r="A35" s="4" t="s">
        <v>100</v>
      </c>
      <c r="E35" s="4">
        <f>SUM(E5:E34)</f>
        <v>99.999999999999972</v>
      </c>
      <c r="F35" s="4">
        <f>SUM(F5:F34)</f>
        <v>500.00000000000011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4" sqref="I14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227</v>
      </c>
    </row>
    <row r="2" spans="1:6" x14ac:dyDescent="0.2">
      <c r="A2" t="s">
        <v>15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131</v>
      </c>
      <c r="B5" t="s">
        <v>132</v>
      </c>
      <c r="C5" t="s">
        <v>133</v>
      </c>
      <c r="D5" t="s">
        <v>31</v>
      </c>
      <c r="E5">
        <v>6</v>
      </c>
      <c r="F5">
        <v>30</v>
      </c>
    </row>
    <row r="6" spans="1:6" x14ac:dyDescent="0.2">
      <c r="A6" t="s">
        <v>121</v>
      </c>
      <c r="B6" t="s">
        <v>122</v>
      </c>
      <c r="C6" t="s">
        <v>123</v>
      </c>
      <c r="D6" t="s">
        <v>31</v>
      </c>
      <c r="E6">
        <v>6</v>
      </c>
      <c r="F6">
        <v>30</v>
      </c>
    </row>
    <row r="7" spans="1:6" x14ac:dyDescent="0.2">
      <c r="A7" t="s">
        <v>126</v>
      </c>
      <c r="B7" t="s">
        <v>127</v>
      </c>
      <c r="C7" t="s">
        <v>123</v>
      </c>
      <c r="D7" t="s">
        <v>48</v>
      </c>
      <c r="E7">
        <v>6</v>
      </c>
      <c r="F7">
        <v>30</v>
      </c>
    </row>
    <row r="8" spans="1:6" x14ac:dyDescent="0.2">
      <c r="A8" t="s">
        <v>128</v>
      </c>
      <c r="B8" t="s">
        <v>129</v>
      </c>
      <c r="C8" t="s">
        <v>123</v>
      </c>
      <c r="D8" t="s">
        <v>130</v>
      </c>
      <c r="E8">
        <v>5.88</v>
      </c>
      <c r="F8">
        <v>29.4</v>
      </c>
    </row>
    <row r="9" spans="1:6" x14ac:dyDescent="0.2">
      <c r="A9" t="s">
        <v>149</v>
      </c>
      <c r="B9" t="s">
        <v>150</v>
      </c>
      <c r="C9" t="s">
        <v>133</v>
      </c>
      <c r="D9" t="s">
        <v>31</v>
      </c>
      <c r="E9">
        <v>5.38</v>
      </c>
      <c r="F9">
        <v>26.9</v>
      </c>
    </row>
    <row r="10" spans="1:6" x14ac:dyDescent="0.2">
      <c r="A10" t="s">
        <v>35</v>
      </c>
      <c r="B10" t="s">
        <v>36</v>
      </c>
      <c r="C10" t="s">
        <v>37</v>
      </c>
      <c r="D10" t="s">
        <v>38</v>
      </c>
      <c r="E10">
        <v>4.71</v>
      </c>
      <c r="F10">
        <v>23.55</v>
      </c>
    </row>
    <row r="11" spans="1:6" x14ac:dyDescent="0.2">
      <c r="A11" t="s">
        <v>136</v>
      </c>
      <c r="B11" t="s">
        <v>137</v>
      </c>
      <c r="C11" t="s">
        <v>123</v>
      </c>
      <c r="D11" t="s">
        <v>48</v>
      </c>
      <c r="E11">
        <v>4.71</v>
      </c>
      <c r="F11">
        <v>23.55</v>
      </c>
    </row>
    <row r="12" spans="1:6" x14ac:dyDescent="0.2">
      <c r="A12" t="s">
        <v>154</v>
      </c>
      <c r="B12" t="s">
        <v>155</v>
      </c>
      <c r="C12" t="s">
        <v>133</v>
      </c>
      <c r="D12" t="s">
        <v>61</v>
      </c>
      <c r="E12">
        <v>4.1900000000000004</v>
      </c>
      <c r="F12">
        <v>20.95</v>
      </c>
    </row>
    <row r="13" spans="1:6" x14ac:dyDescent="0.2">
      <c r="A13" t="s">
        <v>134</v>
      </c>
      <c r="B13" t="s">
        <v>135</v>
      </c>
      <c r="C13" t="s">
        <v>123</v>
      </c>
      <c r="D13" t="s">
        <v>31</v>
      </c>
      <c r="E13">
        <v>4.1900000000000004</v>
      </c>
      <c r="F13">
        <v>20.95</v>
      </c>
    </row>
    <row r="14" spans="1:6" x14ac:dyDescent="0.2">
      <c r="A14" t="s">
        <v>98</v>
      </c>
      <c r="B14" t="s">
        <v>99</v>
      </c>
      <c r="C14" t="s">
        <v>41</v>
      </c>
      <c r="D14" t="s">
        <v>31</v>
      </c>
      <c r="E14">
        <v>4</v>
      </c>
      <c r="F14">
        <v>20</v>
      </c>
    </row>
    <row r="15" spans="1:6" x14ac:dyDescent="0.2">
      <c r="A15" t="s">
        <v>39</v>
      </c>
      <c r="B15" t="s">
        <v>40</v>
      </c>
      <c r="C15" t="s">
        <v>41</v>
      </c>
      <c r="D15" t="s">
        <v>42</v>
      </c>
      <c r="E15">
        <v>3.53</v>
      </c>
      <c r="F15">
        <v>17.649999999999999</v>
      </c>
    </row>
    <row r="16" spans="1:6" x14ac:dyDescent="0.2">
      <c r="A16" t="s">
        <v>138</v>
      </c>
      <c r="B16" t="s">
        <v>139</v>
      </c>
      <c r="C16" t="s">
        <v>123</v>
      </c>
      <c r="D16" t="s">
        <v>140</v>
      </c>
      <c r="E16">
        <v>3.53</v>
      </c>
      <c r="F16">
        <v>17.649999999999999</v>
      </c>
    </row>
    <row r="17" spans="1:6" x14ac:dyDescent="0.2">
      <c r="A17" t="s">
        <v>151</v>
      </c>
      <c r="B17" t="s">
        <v>152</v>
      </c>
      <c r="C17" t="s">
        <v>37</v>
      </c>
      <c r="D17" t="s">
        <v>153</v>
      </c>
      <c r="E17">
        <v>3.06</v>
      </c>
      <c r="F17">
        <v>15.3</v>
      </c>
    </row>
    <row r="18" spans="1:6" x14ac:dyDescent="0.2">
      <c r="A18" t="s">
        <v>43</v>
      </c>
      <c r="B18" t="s">
        <v>44</v>
      </c>
      <c r="C18" t="s">
        <v>41</v>
      </c>
      <c r="D18" t="s">
        <v>45</v>
      </c>
      <c r="E18">
        <v>3.06</v>
      </c>
      <c r="F18">
        <v>15.3</v>
      </c>
    </row>
    <row r="19" spans="1:6" x14ac:dyDescent="0.2">
      <c r="A19" t="s">
        <v>46</v>
      </c>
      <c r="B19" t="s">
        <v>47</v>
      </c>
      <c r="C19" t="s">
        <v>41</v>
      </c>
      <c r="D19" t="s">
        <v>48</v>
      </c>
      <c r="E19">
        <v>3.06</v>
      </c>
      <c r="F19">
        <v>15.3</v>
      </c>
    </row>
    <row r="20" spans="1:6" x14ac:dyDescent="0.2">
      <c r="A20" t="s">
        <v>124</v>
      </c>
      <c r="B20" t="s">
        <v>125</v>
      </c>
      <c r="C20" t="s">
        <v>123</v>
      </c>
      <c r="D20" t="s">
        <v>31</v>
      </c>
      <c r="E20">
        <v>3</v>
      </c>
      <c r="F20">
        <v>15</v>
      </c>
    </row>
    <row r="21" spans="1:6" x14ac:dyDescent="0.2">
      <c r="A21" t="s">
        <v>49</v>
      </c>
      <c r="B21" t="s">
        <v>50</v>
      </c>
      <c r="C21" t="s">
        <v>41</v>
      </c>
      <c r="D21" t="s">
        <v>31</v>
      </c>
      <c r="E21">
        <v>2.83</v>
      </c>
      <c r="F21">
        <v>14.15</v>
      </c>
    </row>
    <row r="22" spans="1:6" x14ac:dyDescent="0.2">
      <c r="A22" t="s">
        <v>156</v>
      </c>
      <c r="B22" t="s">
        <v>157</v>
      </c>
      <c r="C22" t="s">
        <v>37</v>
      </c>
      <c r="D22" t="s">
        <v>61</v>
      </c>
      <c r="E22">
        <v>2.36</v>
      </c>
      <c r="F22">
        <v>11.8</v>
      </c>
    </row>
    <row r="23" spans="1:6" x14ac:dyDescent="0.2">
      <c r="A23" t="s">
        <v>51</v>
      </c>
      <c r="B23" t="s">
        <v>52</v>
      </c>
      <c r="C23" t="s">
        <v>37</v>
      </c>
      <c r="D23" t="s">
        <v>48</v>
      </c>
      <c r="E23">
        <v>2.36</v>
      </c>
      <c r="F23">
        <v>11.8</v>
      </c>
    </row>
    <row r="24" spans="1:6" x14ac:dyDescent="0.2">
      <c r="A24" t="s">
        <v>53</v>
      </c>
      <c r="B24" t="s">
        <v>54</v>
      </c>
      <c r="C24" t="s">
        <v>41</v>
      </c>
      <c r="D24" t="s">
        <v>34</v>
      </c>
      <c r="E24">
        <v>2.36</v>
      </c>
      <c r="F24">
        <v>11.8</v>
      </c>
    </row>
    <row r="25" spans="1:6" x14ac:dyDescent="0.2">
      <c r="A25" t="s">
        <v>141</v>
      </c>
      <c r="B25" t="s">
        <v>142</v>
      </c>
      <c r="C25" t="s">
        <v>123</v>
      </c>
      <c r="D25" t="s">
        <v>143</v>
      </c>
      <c r="E25">
        <v>2.36</v>
      </c>
      <c r="F25">
        <v>11.8</v>
      </c>
    </row>
    <row r="26" spans="1:6" x14ac:dyDescent="0.2">
      <c r="A26" t="s">
        <v>200</v>
      </c>
      <c r="B26" t="s">
        <v>201</v>
      </c>
      <c r="C26" t="s">
        <v>123</v>
      </c>
      <c r="D26" t="s">
        <v>31</v>
      </c>
      <c r="E26">
        <v>2.36</v>
      </c>
      <c r="F26">
        <v>11.8</v>
      </c>
    </row>
    <row r="27" spans="1:6" x14ac:dyDescent="0.2">
      <c r="A27" t="s">
        <v>144</v>
      </c>
      <c r="B27" t="s">
        <v>145</v>
      </c>
      <c r="C27" t="s">
        <v>123</v>
      </c>
      <c r="D27" t="s">
        <v>31</v>
      </c>
      <c r="E27">
        <v>2.36</v>
      </c>
      <c r="F27">
        <v>11.8</v>
      </c>
    </row>
    <row r="28" spans="1:6" x14ac:dyDescent="0.2">
      <c r="A28" t="s">
        <v>158</v>
      </c>
      <c r="B28" t="s">
        <v>159</v>
      </c>
      <c r="C28" t="s">
        <v>113</v>
      </c>
      <c r="D28" t="s">
        <v>140</v>
      </c>
      <c r="E28">
        <v>2.12</v>
      </c>
      <c r="F28">
        <v>10.6</v>
      </c>
    </row>
    <row r="29" spans="1:6" x14ac:dyDescent="0.2">
      <c r="A29" t="s">
        <v>57</v>
      </c>
      <c r="B29" t="s">
        <v>58</v>
      </c>
      <c r="C29" t="s">
        <v>41</v>
      </c>
      <c r="D29" t="s">
        <v>48</v>
      </c>
      <c r="E29">
        <v>2.12</v>
      </c>
      <c r="F29">
        <v>10.6</v>
      </c>
    </row>
    <row r="30" spans="1:6" x14ac:dyDescent="0.2">
      <c r="A30" t="s">
        <v>59</v>
      </c>
      <c r="B30" t="s">
        <v>60</v>
      </c>
      <c r="C30" t="s">
        <v>41</v>
      </c>
      <c r="D30" t="s">
        <v>61</v>
      </c>
      <c r="E30">
        <v>1.88</v>
      </c>
      <c r="F30">
        <v>9.4</v>
      </c>
    </row>
    <row r="31" spans="1:6" x14ac:dyDescent="0.2">
      <c r="A31" t="s">
        <v>62</v>
      </c>
      <c r="B31" t="s">
        <v>63</v>
      </c>
      <c r="C31" t="s">
        <v>41</v>
      </c>
      <c r="D31" t="s">
        <v>31</v>
      </c>
      <c r="E31">
        <v>1.88</v>
      </c>
      <c r="F31">
        <v>9.4</v>
      </c>
    </row>
    <row r="32" spans="1:6" x14ac:dyDescent="0.2">
      <c r="A32" t="s">
        <v>160</v>
      </c>
      <c r="B32" t="s">
        <v>161</v>
      </c>
      <c r="C32" t="s">
        <v>113</v>
      </c>
      <c r="D32" t="s">
        <v>162</v>
      </c>
      <c r="E32">
        <v>1.77</v>
      </c>
      <c r="F32">
        <v>8.85</v>
      </c>
    </row>
    <row r="33" spans="1:6" x14ac:dyDescent="0.2">
      <c r="A33" t="s">
        <v>68</v>
      </c>
      <c r="B33" t="s">
        <v>69</v>
      </c>
      <c r="C33" t="s">
        <v>41</v>
      </c>
      <c r="D33" t="s">
        <v>48</v>
      </c>
      <c r="E33">
        <v>1.53</v>
      </c>
      <c r="F33">
        <v>7.65</v>
      </c>
    </row>
    <row r="34" spans="1:6" x14ac:dyDescent="0.2">
      <c r="A34" t="s">
        <v>111</v>
      </c>
      <c r="B34" t="s">
        <v>112</v>
      </c>
      <c r="C34" t="s">
        <v>113</v>
      </c>
      <c r="D34" t="s">
        <v>48</v>
      </c>
      <c r="E34">
        <v>1.41</v>
      </c>
      <c r="F34">
        <v>7.05</v>
      </c>
    </row>
    <row r="35" spans="1:6" x14ac:dyDescent="0.2">
      <c r="A35" s="4" t="s">
        <v>100</v>
      </c>
      <c r="E35" s="4">
        <f>SUM(E5:E34)</f>
        <v>99.999999999999986</v>
      </c>
      <c r="F35" s="4">
        <f>SUM(F5:F34)</f>
        <v>500.00000000000006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8" sqref="H8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229</v>
      </c>
    </row>
    <row r="2" spans="1:6" x14ac:dyDescent="0.2">
      <c r="A2" t="s">
        <v>16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121</v>
      </c>
      <c r="B5" t="s">
        <v>122</v>
      </c>
      <c r="C5" t="s">
        <v>123</v>
      </c>
      <c r="D5" t="s">
        <v>31</v>
      </c>
      <c r="E5">
        <v>6</v>
      </c>
      <c r="F5">
        <v>30</v>
      </c>
    </row>
    <row r="6" spans="1:6" x14ac:dyDescent="0.2">
      <c r="A6" t="s">
        <v>172</v>
      </c>
      <c r="B6" t="s">
        <v>173</v>
      </c>
      <c r="C6" t="s">
        <v>169</v>
      </c>
      <c r="D6" t="s">
        <v>31</v>
      </c>
      <c r="E6">
        <v>6</v>
      </c>
      <c r="F6">
        <v>30</v>
      </c>
    </row>
    <row r="7" spans="1:6" x14ac:dyDescent="0.2">
      <c r="A7" t="s">
        <v>28</v>
      </c>
      <c r="B7" t="s">
        <v>29</v>
      </c>
      <c r="C7" t="s">
        <v>30</v>
      </c>
      <c r="D7" t="s">
        <v>31</v>
      </c>
      <c r="E7">
        <v>6</v>
      </c>
      <c r="F7">
        <v>30</v>
      </c>
    </row>
    <row r="8" spans="1:6" x14ac:dyDescent="0.2">
      <c r="A8" t="s">
        <v>170</v>
      </c>
      <c r="B8" t="s">
        <v>171</v>
      </c>
      <c r="C8" t="s">
        <v>169</v>
      </c>
      <c r="D8" t="s">
        <v>31</v>
      </c>
      <c r="E8">
        <v>6</v>
      </c>
      <c r="F8">
        <v>30</v>
      </c>
    </row>
    <row r="9" spans="1:6" x14ac:dyDescent="0.2">
      <c r="A9" t="s">
        <v>167</v>
      </c>
      <c r="B9" t="s">
        <v>168</v>
      </c>
      <c r="C9" t="s">
        <v>169</v>
      </c>
      <c r="D9" t="s">
        <v>31</v>
      </c>
      <c r="E9">
        <v>6</v>
      </c>
      <c r="F9">
        <v>30</v>
      </c>
    </row>
    <row r="10" spans="1:6" x14ac:dyDescent="0.2">
      <c r="A10" t="s">
        <v>202</v>
      </c>
      <c r="B10" t="s">
        <v>203</v>
      </c>
      <c r="C10" t="s">
        <v>169</v>
      </c>
      <c r="D10" t="s">
        <v>31</v>
      </c>
      <c r="E10">
        <v>6</v>
      </c>
      <c r="F10">
        <v>30</v>
      </c>
    </row>
    <row r="11" spans="1:6" x14ac:dyDescent="0.2">
      <c r="A11" t="s">
        <v>131</v>
      </c>
      <c r="B11" t="s">
        <v>132</v>
      </c>
      <c r="C11" t="s">
        <v>133</v>
      </c>
      <c r="D11" t="s">
        <v>31</v>
      </c>
      <c r="E11">
        <v>4.6900000000000004</v>
      </c>
      <c r="F11">
        <v>23.45</v>
      </c>
    </row>
    <row r="12" spans="1:6" x14ac:dyDescent="0.2">
      <c r="A12" t="s">
        <v>198</v>
      </c>
      <c r="B12" t="s">
        <v>199</v>
      </c>
      <c r="C12" t="s">
        <v>176</v>
      </c>
      <c r="D12" t="s">
        <v>95</v>
      </c>
      <c r="E12">
        <v>4.37</v>
      </c>
      <c r="F12">
        <v>21.85</v>
      </c>
    </row>
    <row r="13" spans="1:6" x14ac:dyDescent="0.2">
      <c r="A13" t="s">
        <v>174</v>
      </c>
      <c r="B13" t="s">
        <v>175</v>
      </c>
      <c r="C13" t="s">
        <v>176</v>
      </c>
      <c r="D13" t="s">
        <v>31</v>
      </c>
      <c r="E13">
        <v>4.1500000000000004</v>
      </c>
      <c r="F13">
        <v>20.75</v>
      </c>
    </row>
    <row r="14" spans="1:6" x14ac:dyDescent="0.2">
      <c r="A14" t="s">
        <v>126</v>
      </c>
      <c r="B14" t="s">
        <v>127</v>
      </c>
      <c r="C14" t="s">
        <v>123</v>
      </c>
      <c r="D14" t="s">
        <v>48</v>
      </c>
      <c r="E14">
        <v>3.28</v>
      </c>
      <c r="F14">
        <v>16.399999999999999</v>
      </c>
    </row>
    <row r="15" spans="1:6" x14ac:dyDescent="0.2">
      <c r="A15" t="s">
        <v>177</v>
      </c>
      <c r="B15" t="s">
        <v>178</v>
      </c>
      <c r="C15" t="s">
        <v>169</v>
      </c>
      <c r="D15" t="s">
        <v>45</v>
      </c>
      <c r="E15">
        <v>3.28</v>
      </c>
      <c r="F15">
        <v>16.399999999999999</v>
      </c>
    </row>
    <row r="16" spans="1:6" x14ac:dyDescent="0.2">
      <c r="A16" t="s">
        <v>55</v>
      </c>
      <c r="B16" t="s">
        <v>56</v>
      </c>
      <c r="C16" t="s">
        <v>30</v>
      </c>
      <c r="D16" t="s">
        <v>31</v>
      </c>
      <c r="E16">
        <v>3.06</v>
      </c>
      <c r="F16">
        <v>15.3</v>
      </c>
    </row>
    <row r="17" spans="1:6" x14ac:dyDescent="0.2">
      <c r="A17" t="s">
        <v>124</v>
      </c>
      <c r="B17" t="s">
        <v>125</v>
      </c>
      <c r="C17" t="s">
        <v>123</v>
      </c>
      <c r="D17" t="s">
        <v>31</v>
      </c>
      <c r="E17">
        <v>3</v>
      </c>
      <c r="F17">
        <v>15</v>
      </c>
    </row>
    <row r="18" spans="1:6" x14ac:dyDescent="0.2">
      <c r="A18" t="s">
        <v>204</v>
      </c>
      <c r="B18" t="s">
        <v>205</v>
      </c>
      <c r="C18" t="s">
        <v>176</v>
      </c>
      <c r="D18" t="s">
        <v>31</v>
      </c>
      <c r="E18">
        <v>2.93</v>
      </c>
      <c r="F18">
        <v>14.65</v>
      </c>
    </row>
    <row r="19" spans="1:6" x14ac:dyDescent="0.2">
      <c r="A19" t="s">
        <v>128</v>
      </c>
      <c r="B19" t="s">
        <v>129</v>
      </c>
      <c r="C19" t="s">
        <v>123</v>
      </c>
      <c r="D19" t="s">
        <v>130</v>
      </c>
      <c r="E19">
        <v>2.73</v>
      </c>
      <c r="F19">
        <v>13.65</v>
      </c>
    </row>
    <row r="20" spans="1:6" x14ac:dyDescent="0.2">
      <c r="A20" t="s">
        <v>206</v>
      </c>
      <c r="B20" t="s">
        <v>207</v>
      </c>
      <c r="C20" t="s">
        <v>169</v>
      </c>
      <c r="D20" t="s">
        <v>42</v>
      </c>
      <c r="E20">
        <v>2.73</v>
      </c>
      <c r="F20">
        <v>13.65</v>
      </c>
    </row>
    <row r="21" spans="1:6" x14ac:dyDescent="0.2">
      <c r="A21" t="s">
        <v>32</v>
      </c>
      <c r="B21" t="s">
        <v>33</v>
      </c>
      <c r="C21" t="s">
        <v>30</v>
      </c>
      <c r="D21" t="s">
        <v>34</v>
      </c>
      <c r="E21">
        <v>2.41</v>
      </c>
      <c r="F21">
        <v>12.05</v>
      </c>
    </row>
    <row r="22" spans="1:6" x14ac:dyDescent="0.2">
      <c r="A22" t="s">
        <v>179</v>
      </c>
      <c r="B22" t="s">
        <v>180</v>
      </c>
      <c r="C22" t="s">
        <v>176</v>
      </c>
      <c r="D22" t="s">
        <v>34</v>
      </c>
      <c r="E22">
        <v>2.41</v>
      </c>
      <c r="F22">
        <v>12.05</v>
      </c>
    </row>
    <row r="23" spans="1:6" x14ac:dyDescent="0.2">
      <c r="A23" t="s">
        <v>181</v>
      </c>
      <c r="B23" t="s">
        <v>182</v>
      </c>
      <c r="C23" t="s">
        <v>176</v>
      </c>
      <c r="D23" t="s">
        <v>34</v>
      </c>
      <c r="E23">
        <v>2.41</v>
      </c>
      <c r="F23">
        <v>12.05</v>
      </c>
    </row>
    <row r="24" spans="1:6" x14ac:dyDescent="0.2">
      <c r="A24" t="s">
        <v>183</v>
      </c>
      <c r="B24" t="s">
        <v>184</v>
      </c>
      <c r="C24" t="s">
        <v>176</v>
      </c>
      <c r="D24" t="s">
        <v>61</v>
      </c>
      <c r="E24">
        <v>2.41</v>
      </c>
      <c r="F24">
        <v>12.05</v>
      </c>
    </row>
    <row r="25" spans="1:6" x14ac:dyDescent="0.2">
      <c r="A25" t="s">
        <v>134</v>
      </c>
      <c r="B25" t="s">
        <v>135</v>
      </c>
      <c r="C25" t="s">
        <v>123</v>
      </c>
      <c r="D25" t="s">
        <v>31</v>
      </c>
      <c r="E25">
        <v>2.2999999999999998</v>
      </c>
      <c r="F25">
        <v>11.5</v>
      </c>
    </row>
    <row r="26" spans="1:6" x14ac:dyDescent="0.2">
      <c r="A26" t="s">
        <v>35</v>
      </c>
      <c r="B26" t="s">
        <v>36</v>
      </c>
      <c r="C26" t="s">
        <v>37</v>
      </c>
      <c r="D26" t="s">
        <v>38</v>
      </c>
      <c r="E26">
        <v>2.19</v>
      </c>
      <c r="F26">
        <v>10.95</v>
      </c>
    </row>
    <row r="27" spans="1:6" x14ac:dyDescent="0.2">
      <c r="A27" t="s">
        <v>136</v>
      </c>
      <c r="B27" t="s">
        <v>137</v>
      </c>
      <c r="C27" t="s">
        <v>123</v>
      </c>
      <c r="D27" t="s">
        <v>48</v>
      </c>
      <c r="E27">
        <v>2.19</v>
      </c>
      <c r="F27">
        <v>10.95</v>
      </c>
    </row>
    <row r="28" spans="1:6" x14ac:dyDescent="0.2">
      <c r="A28" t="s">
        <v>64</v>
      </c>
      <c r="B28" t="s">
        <v>65</v>
      </c>
      <c r="C28" t="s">
        <v>30</v>
      </c>
      <c r="D28" t="s">
        <v>31</v>
      </c>
      <c r="E28">
        <v>2.19</v>
      </c>
      <c r="F28">
        <v>10.95</v>
      </c>
    </row>
    <row r="29" spans="1:6" x14ac:dyDescent="0.2">
      <c r="A29" t="s">
        <v>66</v>
      </c>
      <c r="B29" t="s">
        <v>67</v>
      </c>
      <c r="C29" t="s">
        <v>30</v>
      </c>
      <c r="D29" t="s">
        <v>48</v>
      </c>
      <c r="E29">
        <v>2.19</v>
      </c>
      <c r="F29">
        <v>10.95</v>
      </c>
    </row>
    <row r="30" spans="1:6" x14ac:dyDescent="0.2">
      <c r="A30" t="s">
        <v>185</v>
      </c>
      <c r="B30" t="s">
        <v>186</v>
      </c>
      <c r="C30" t="s">
        <v>176</v>
      </c>
      <c r="D30" t="s">
        <v>31</v>
      </c>
      <c r="E30">
        <v>2.08</v>
      </c>
      <c r="F30">
        <v>10.4</v>
      </c>
    </row>
    <row r="31" spans="1:6" x14ac:dyDescent="0.2">
      <c r="A31" t="s">
        <v>98</v>
      </c>
      <c r="B31" t="s">
        <v>99</v>
      </c>
      <c r="C31" t="s">
        <v>41</v>
      </c>
      <c r="D31" t="s">
        <v>31</v>
      </c>
      <c r="E31">
        <v>1.86</v>
      </c>
      <c r="F31">
        <v>9.3000000000000007</v>
      </c>
    </row>
    <row r="32" spans="1:6" x14ac:dyDescent="0.2">
      <c r="A32" t="s">
        <v>187</v>
      </c>
      <c r="B32" t="s">
        <v>188</v>
      </c>
      <c r="C32" t="s">
        <v>176</v>
      </c>
      <c r="D32" t="s">
        <v>31</v>
      </c>
      <c r="E32">
        <v>1.75</v>
      </c>
      <c r="F32">
        <v>8.75</v>
      </c>
    </row>
    <row r="33" spans="1:6" x14ac:dyDescent="0.2">
      <c r="A33" t="s">
        <v>189</v>
      </c>
      <c r="B33" t="s">
        <v>190</v>
      </c>
      <c r="C33" t="s">
        <v>191</v>
      </c>
      <c r="D33" t="s">
        <v>61</v>
      </c>
      <c r="E33">
        <v>1.75</v>
      </c>
      <c r="F33">
        <v>8.75</v>
      </c>
    </row>
    <row r="34" spans="1:6" x14ac:dyDescent="0.2">
      <c r="A34" t="s">
        <v>39</v>
      </c>
      <c r="B34" t="s">
        <v>40</v>
      </c>
      <c r="C34" t="s">
        <v>41</v>
      </c>
      <c r="D34" t="s">
        <v>42</v>
      </c>
      <c r="E34">
        <v>1.64</v>
      </c>
      <c r="F34">
        <v>8.1999999999999993</v>
      </c>
    </row>
    <row r="35" spans="1:6" x14ac:dyDescent="0.2">
      <c r="A35" s="4" t="s">
        <v>100</v>
      </c>
      <c r="E35" s="4">
        <f>SUM(E5:E34)</f>
        <v>99.999999999999986</v>
      </c>
      <c r="F35" s="4">
        <f>SUM(F5:F34)</f>
        <v>499.99999999999989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208</v>
      </c>
    </row>
    <row r="2" spans="1:6" x14ac:dyDescent="0.2">
      <c r="A2" t="s">
        <v>18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28</v>
      </c>
      <c r="B5" t="s">
        <v>29</v>
      </c>
      <c r="C5" t="s">
        <v>30</v>
      </c>
      <c r="D5" t="s">
        <v>31</v>
      </c>
      <c r="E5">
        <v>6</v>
      </c>
      <c r="F5">
        <v>30</v>
      </c>
    </row>
    <row r="6" spans="1:6" x14ac:dyDescent="0.2">
      <c r="A6" t="s">
        <v>55</v>
      </c>
      <c r="B6" t="s">
        <v>56</v>
      </c>
      <c r="C6" t="s">
        <v>30</v>
      </c>
      <c r="D6" t="s">
        <v>31</v>
      </c>
      <c r="E6">
        <v>6</v>
      </c>
      <c r="F6">
        <v>30</v>
      </c>
    </row>
    <row r="7" spans="1:6" x14ac:dyDescent="0.2">
      <c r="A7" t="s">
        <v>183</v>
      </c>
      <c r="B7" t="s">
        <v>184</v>
      </c>
      <c r="C7" t="s">
        <v>176</v>
      </c>
      <c r="D7" t="s">
        <v>61</v>
      </c>
      <c r="E7">
        <v>5.42</v>
      </c>
      <c r="F7">
        <v>27.1</v>
      </c>
    </row>
    <row r="8" spans="1:6" x14ac:dyDescent="0.2">
      <c r="A8" t="s">
        <v>64</v>
      </c>
      <c r="B8" t="s">
        <v>65</v>
      </c>
      <c r="C8" t="s">
        <v>30</v>
      </c>
      <c r="D8" t="s">
        <v>31</v>
      </c>
      <c r="E8">
        <v>4.9000000000000004</v>
      </c>
      <c r="F8">
        <v>24.5</v>
      </c>
    </row>
    <row r="9" spans="1:6" x14ac:dyDescent="0.2">
      <c r="A9" t="s">
        <v>66</v>
      </c>
      <c r="B9" t="s">
        <v>67</v>
      </c>
      <c r="C9" t="s">
        <v>30</v>
      </c>
      <c r="D9" t="s">
        <v>48</v>
      </c>
      <c r="E9">
        <v>4.9000000000000004</v>
      </c>
      <c r="F9">
        <v>24.5</v>
      </c>
    </row>
    <row r="10" spans="1:6" x14ac:dyDescent="0.2">
      <c r="A10" t="s">
        <v>198</v>
      </c>
      <c r="B10" t="s">
        <v>199</v>
      </c>
      <c r="C10" t="s">
        <v>176</v>
      </c>
      <c r="D10" t="s">
        <v>95</v>
      </c>
      <c r="E10">
        <v>4.8099999999999996</v>
      </c>
      <c r="F10">
        <v>24.05</v>
      </c>
    </row>
    <row r="11" spans="1:6" x14ac:dyDescent="0.2">
      <c r="A11" t="s">
        <v>185</v>
      </c>
      <c r="B11" t="s">
        <v>186</v>
      </c>
      <c r="C11" t="s">
        <v>176</v>
      </c>
      <c r="D11" t="s">
        <v>31</v>
      </c>
      <c r="E11">
        <v>4.6500000000000004</v>
      </c>
      <c r="F11">
        <v>23.25</v>
      </c>
    </row>
    <row r="12" spans="1:6" x14ac:dyDescent="0.2">
      <c r="A12" t="s">
        <v>98</v>
      </c>
      <c r="B12" t="s">
        <v>99</v>
      </c>
      <c r="C12" t="s">
        <v>41</v>
      </c>
      <c r="D12" t="s">
        <v>31</v>
      </c>
      <c r="E12">
        <v>4.16</v>
      </c>
      <c r="F12">
        <v>20.8</v>
      </c>
    </row>
    <row r="13" spans="1:6" x14ac:dyDescent="0.2">
      <c r="A13" t="s">
        <v>187</v>
      </c>
      <c r="B13" t="s">
        <v>188</v>
      </c>
      <c r="C13" t="s">
        <v>176</v>
      </c>
      <c r="D13" t="s">
        <v>31</v>
      </c>
      <c r="E13">
        <v>3.92</v>
      </c>
      <c r="F13">
        <v>19.600000000000001</v>
      </c>
    </row>
    <row r="14" spans="1:6" x14ac:dyDescent="0.2">
      <c r="A14" t="s">
        <v>189</v>
      </c>
      <c r="B14" t="s">
        <v>190</v>
      </c>
      <c r="C14" t="s">
        <v>191</v>
      </c>
      <c r="D14" t="s">
        <v>61</v>
      </c>
      <c r="E14">
        <v>3.92</v>
      </c>
      <c r="F14">
        <v>19.600000000000001</v>
      </c>
    </row>
    <row r="15" spans="1:6" x14ac:dyDescent="0.2">
      <c r="A15" t="s">
        <v>39</v>
      </c>
      <c r="B15" t="s">
        <v>40</v>
      </c>
      <c r="C15" t="s">
        <v>41</v>
      </c>
      <c r="D15" t="s">
        <v>42</v>
      </c>
      <c r="E15">
        <v>3.67</v>
      </c>
      <c r="F15">
        <v>18.350000000000001</v>
      </c>
    </row>
    <row r="16" spans="1:6" x14ac:dyDescent="0.2">
      <c r="A16" t="s">
        <v>204</v>
      </c>
      <c r="B16" t="s">
        <v>205</v>
      </c>
      <c r="C16" t="s">
        <v>176</v>
      </c>
      <c r="D16" t="s">
        <v>31</v>
      </c>
      <c r="E16">
        <v>3.37</v>
      </c>
      <c r="F16">
        <v>16.850000000000001</v>
      </c>
    </row>
    <row r="17" spans="1:6" x14ac:dyDescent="0.2">
      <c r="A17" t="s">
        <v>43</v>
      </c>
      <c r="B17" t="s">
        <v>44</v>
      </c>
      <c r="C17" t="s">
        <v>41</v>
      </c>
      <c r="D17" t="s">
        <v>45</v>
      </c>
      <c r="E17">
        <v>3.18</v>
      </c>
      <c r="F17">
        <v>15.9</v>
      </c>
    </row>
    <row r="18" spans="1:6" x14ac:dyDescent="0.2">
      <c r="A18" t="s">
        <v>46</v>
      </c>
      <c r="B18" t="s">
        <v>47</v>
      </c>
      <c r="C18" t="s">
        <v>41</v>
      </c>
      <c r="D18" t="s">
        <v>48</v>
      </c>
      <c r="E18">
        <v>3.18</v>
      </c>
      <c r="F18">
        <v>15.9</v>
      </c>
    </row>
    <row r="19" spans="1:6" x14ac:dyDescent="0.2">
      <c r="A19" t="s">
        <v>209</v>
      </c>
      <c r="B19" t="s">
        <v>210</v>
      </c>
      <c r="C19" t="s">
        <v>176</v>
      </c>
      <c r="D19" t="s">
        <v>31</v>
      </c>
      <c r="E19">
        <v>3.18</v>
      </c>
      <c r="F19">
        <v>15.9</v>
      </c>
    </row>
    <row r="20" spans="1:6" x14ac:dyDescent="0.2">
      <c r="A20" t="s">
        <v>49</v>
      </c>
      <c r="B20" t="s">
        <v>50</v>
      </c>
      <c r="C20" t="s">
        <v>41</v>
      </c>
      <c r="D20" t="s">
        <v>31</v>
      </c>
      <c r="E20">
        <v>2.94</v>
      </c>
      <c r="F20">
        <v>14.7</v>
      </c>
    </row>
    <row r="21" spans="1:6" x14ac:dyDescent="0.2">
      <c r="A21" t="s">
        <v>211</v>
      </c>
      <c r="B21" t="s">
        <v>212</v>
      </c>
      <c r="C21" t="s">
        <v>176</v>
      </c>
      <c r="D21" t="s">
        <v>48</v>
      </c>
      <c r="E21">
        <v>2.94</v>
      </c>
      <c r="F21">
        <v>14.7</v>
      </c>
    </row>
    <row r="22" spans="1:6" x14ac:dyDescent="0.2">
      <c r="A22" t="s">
        <v>213</v>
      </c>
      <c r="B22" t="s">
        <v>214</v>
      </c>
      <c r="C22" t="s">
        <v>176</v>
      </c>
      <c r="D22" t="s">
        <v>31</v>
      </c>
      <c r="E22">
        <v>2.69</v>
      </c>
      <c r="F22">
        <v>13.45</v>
      </c>
    </row>
    <row r="23" spans="1:6" x14ac:dyDescent="0.2">
      <c r="A23" t="s">
        <v>32</v>
      </c>
      <c r="B23" t="s">
        <v>33</v>
      </c>
      <c r="C23" t="s">
        <v>30</v>
      </c>
      <c r="D23" t="s">
        <v>34</v>
      </c>
      <c r="E23">
        <v>2.65</v>
      </c>
      <c r="F23">
        <v>13.25</v>
      </c>
    </row>
    <row r="24" spans="1:6" x14ac:dyDescent="0.2">
      <c r="A24" t="s">
        <v>215</v>
      </c>
      <c r="B24" t="s">
        <v>216</v>
      </c>
      <c r="C24" t="s">
        <v>176</v>
      </c>
      <c r="D24" t="s">
        <v>38</v>
      </c>
      <c r="E24">
        <v>2.57</v>
      </c>
      <c r="F24">
        <v>12.85</v>
      </c>
    </row>
    <row r="25" spans="1:6" x14ac:dyDescent="0.2">
      <c r="A25" t="s">
        <v>53</v>
      </c>
      <c r="B25" t="s">
        <v>54</v>
      </c>
      <c r="C25" t="s">
        <v>41</v>
      </c>
      <c r="D25" t="s">
        <v>34</v>
      </c>
      <c r="E25">
        <v>2.4500000000000002</v>
      </c>
      <c r="F25">
        <v>12.25</v>
      </c>
    </row>
    <row r="26" spans="1:6" x14ac:dyDescent="0.2">
      <c r="A26" t="s">
        <v>217</v>
      </c>
      <c r="B26" t="s">
        <v>218</v>
      </c>
      <c r="C26" t="s">
        <v>176</v>
      </c>
      <c r="D26" t="s">
        <v>48</v>
      </c>
      <c r="E26">
        <v>2.4500000000000002</v>
      </c>
      <c r="F26">
        <v>12.25</v>
      </c>
    </row>
    <row r="27" spans="1:6" x14ac:dyDescent="0.2">
      <c r="A27" t="s">
        <v>57</v>
      </c>
      <c r="B27" t="s">
        <v>58</v>
      </c>
      <c r="C27" t="s">
        <v>41</v>
      </c>
      <c r="D27" t="s">
        <v>48</v>
      </c>
      <c r="E27">
        <v>2.2000000000000002</v>
      </c>
      <c r="F27">
        <v>11</v>
      </c>
    </row>
    <row r="28" spans="1:6" x14ac:dyDescent="0.2">
      <c r="A28" t="s">
        <v>219</v>
      </c>
      <c r="B28" t="s">
        <v>220</v>
      </c>
      <c r="C28" t="s">
        <v>176</v>
      </c>
      <c r="D28" t="s">
        <v>31</v>
      </c>
      <c r="E28">
        <v>2.2000000000000002</v>
      </c>
      <c r="F28">
        <v>11</v>
      </c>
    </row>
    <row r="29" spans="1:6" x14ac:dyDescent="0.2">
      <c r="A29" t="s">
        <v>109</v>
      </c>
      <c r="B29" t="s">
        <v>110</v>
      </c>
      <c r="C29" t="s">
        <v>30</v>
      </c>
      <c r="D29" t="s">
        <v>31</v>
      </c>
      <c r="E29">
        <v>2.08</v>
      </c>
      <c r="F29">
        <v>10.4</v>
      </c>
    </row>
    <row r="30" spans="1:6" x14ac:dyDescent="0.2">
      <c r="A30" t="s">
        <v>59</v>
      </c>
      <c r="B30" t="s">
        <v>60</v>
      </c>
      <c r="C30" t="s">
        <v>41</v>
      </c>
      <c r="D30" t="s">
        <v>61</v>
      </c>
      <c r="E30">
        <v>1.96</v>
      </c>
      <c r="F30">
        <v>9.8000000000000007</v>
      </c>
    </row>
    <row r="31" spans="1:6" x14ac:dyDescent="0.2">
      <c r="A31" t="s">
        <v>62</v>
      </c>
      <c r="B31" t="s">
        <v>63</v>
      </c>
      <c r="C31" t="s">
        <v>41</v>
      </c>
      <c r="D31" t="s">
        <v>31</v>
      </c>
      <c r="E31">
        <v>1.96</v>
      </c>
      <c r="F31">
        <v>9.8000000000000007</v>
      </c>
    </row>
    <row r="32" spans="1:6" x14ac:dyDescent="0.2">
      <c r="A32" t="s">
        <v>221</v>
      </c>
      <c r="B32" t="s">
        <v>222</v>
      </c>
      <c r="C32" t="s">
        <v>176</v>
      </c>
      <c r="D32" t="s">
        <v>31</v>
      </c>
      <c r="E32">
        <v>1.96</v>
      </c>
      <c r="F32">
        <v>9.8000000000000007</v>
      </c>
    </row>
    <row r="33" spans="1:6" x14ac:dyDescent="0.2">
      <c r="A33" t="s">
        <v>79</v>
      </c>
      <c r="B33" t="s">
        <v>80</v>
      </c>
      <c r="C33" t="s">
        <v>41</v>
      </c>
      <c r="D33" t="s">
        <v>31</v>
      </c>
      <c r="E33">
        <v>1.93</v>
      </c>
      <c r="F33">
        <v>9.65</v>
      </c>
    </row>
    <row r="34" spans="1:6" x14ac:dyDescent="0.2">
      <c r="A34" t="s">
        <v>174</v>
      </c>
      <c r="B34" t="s">
        <v>175</v>
      </c>
      <c r="C34" t="s">
        <v>176</v>
      </c>
      <c r="D34" t="s">
        <v>31</v>
      </c>
      <c r="E34">
        <v>1.76</v>
      </c>
      <c r="F34">
        <v>8.8000000000000007</v>
      </c>
    </row>
    <row r="35" spans="1:6" x14ac:dyDescent="0.2">
      <c r="A35" s="4" t="s">
        <v>100</v>
      </c>
      <c r="E35" s="4">
        <f>SUM(E5:E34)</f>
        <v>100</v>
      </c>
      <c r="F35" s="4">
        <f>SUM(F5:F34)</f>
        <v>499.99999999999994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" customWidth="1"/>
    <col min="4" max="4" width="16" customWidth="1"/>
    <col min="5" max="5" width="11" customWidth="1"/>
    <col min="6" max="6" width="13" customWidth="1"/>
  </cols>
  <sheetData>
    <row r="1" spans="1:6" ht="18" x14ac:dyDescent="0.2">
      <c r="A1" s="1" t="s">
        <v>223</v>
      </c>
    </row>
    <row r="2" spans="1:6" x14ac:dyDescent="0.2">
      <c r="A2" t="s">
        <v>20</v>
      </c>
    </row>
    <row r="4" spans="1: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1:6" x14ac:dyDescent="0.2">
      <c r="A5" t="s">
        <v>121</v>
      </c>
      <c r="B5" t="s">
        <v>122</v>
      </c>
      <c r="C5" t="s">
        <v>123</v>
      </c>
      <c r="D5" t="s">
        <v>31</v>
      </c>
      <c r="E5">
        <v>6</v>
      </c>
      <c r="F5">
        <v>30</v>
      </c>
    </row>
    <row r="6" spans="1:6" x14ac:dyDescent="0.2">
      <c r="A6" t="s">
        <v>172</v>
      </c>
      <c r="B6" t="s">
        <v>173</v>
      </c>
      <c r="C6" t="s">
        <v>169</v>
      </c>
      <c r="D6" t="s">
        <v>31</v>
      </c>
      <c r="E6">
        <v>6</v>
      </c>
      <c r="F6">
        <v>30</v>
      </c>
    </row>
    <row r="7" spans="1:6" x14ac:dyDescent="0.2">
      <c r="A7" t="s">
        <v>124</v>
      </c>
      <c r="B7" t="s">
        <v>125</v>
      </c>
      <c r="C7" t="s">
        <v>123</v>
      </c>
      <c r="D7" t="s">
        <v>31</v>
      </c>
      <c r="E7">
        <v>6</v>
      </c>
      <c r="F7">
        <v>30</v>
      </c>
    </row>
    <row r="8" spans="1:6" x14ac:dyDescent="0.2">
      <c r="A8" t="s">
        <v>170</v>
      </c>
      <c r="B8" t="s">
        <v>171</v>
      </c>
      <c r="C8" t="s">
        <v>169</v>
      </c>
      <c r="D8" t="s">
        <v>31</v>
      </c>
      <c r="E8">
        <v>6</v>
      </c>
      <c r="F8">
        <v>30</v>
      </c>
    </row>
    <row r="9" spans="1:6" x14ac:dyDescent="0.2">
      <c r="A9" t="s">
        <v>167</v>
      </c>
      <c r="B9" t="s">
        <v>168</v>
      </c>
      <c r="C9" t="s">
        <v>169</v>
      </c>
      <c r="D9" t="s">
        <v>31</v>
      </c>
      <c r="E9">
        <v>6</v>
      </c>
      <c r="F9">
        <v>30</v>
      </c>
    </row>
    <row r="10" spans="1:6" x14ac:dyDescent="0.2">
      <c r="A10" t="s">
        <v>202</v>
      </c>
      <c r="B10" t="s">
        <v>203</v>
      </c>
      <c r="C10" t="s">
        <v>169</v>
      </c>
      <c r="D10" t="s">
        <v>31</v>
      </c>
      <c r="E10">
        <v>6</v>
      </c>
      <c r="F10">
        <v>30</v>
      </c>
    </row>
    <row r="11" spans="1:6" x14ac:dyDescent="0.2">
      <c r="A11" t="s">
        <v>131</v>
      </c>
      <c r="B11" t="s">
        <v>132</v>
      </c>
      <c r="C11" t="s">
        <v>133</v>
      </c>
      <c r="D11" t="s">
        <v>31</v>
      </c>
      <c r="E11">
        <v>4.6900000000000004</v>
      </c>
      <c r="F11">
        <v>23.45</v>
      </c>
    </row>
    <row r="12" spans="1:6" x14ac:dyDescent="0.2">
      <c r="A12" t="s">
        <v>198</v>
      </c>
      <c r="B12" t="s">
        <v>199</v>
      </c>
      <c r="C12" t="s">
        <v>176</v>
      </c>
      <c r="D12" t="s">
        <v>95</v>
      </c>
      <c r="E12">
        <v>4.37</v>
      </c>
      <c r="F12">
        <v>21.85</v>
      </c>
    </row>
    <row r="13" spans="1:6" x14ac:dyDescent="0.2">
      <c r="A13" t="s">
        <v>174</v>
      </c>
      <c r="B13" t="s">
        <v>175</v>
      </c>
      <c r="C13" t="s">
        <v>176</v>
      </c>
      <c r="D13" t="s">
        <v>31</v>
      </c>
      <c r="E13">
        <v>4.1500000000000004</v>
      </c>
      <c r="F13">
        <v>20.75</v>
      </c>
    </row>
    <row r="14" spans="1:6" x14ac:dyDescent="0.2">
      <c r="A14" t="s">
        <v>126</v>
      </c>
      <c r="B14" t="s">
        <v>127</v>
      </c>
      <c r="C14" t="s">
        <v>123</v>
      </c>
      <c r="D14" t="s">
        <v>48</v>
      </c>
      <c r="E14">
        <v>3.28</v>
      </c>
      <c r="F14">
        <v>16.399999999999999</v>
      </c>
    </row>
    <row r="15" spans="1:6" x14ac:dyDescent="0.2">
      <c r="A15" t="s">
        <v>177</v>
      </c>
      <c r="B15" t="s">
        <v>178</v>
      </c>
      <c r="C15" t="s">
        <v>169</v>
      </c>
      <c r="D15" t="s">
        <v>45</v>
      </c>
      <c r="E15">
        <v>3.28</v>
      </c>
      <c r="F15">
        <v>16.399999999999999</v>
      </c>
    </row>
    <row r="16" spans="1:6" x14ac:dyDescent="0.2">
      <c r="A16" t="s">
        <v>55</v>
      </c>
      <c r="B16" t="s">
        <v>56</v>
      </c>
      <c r="C16" t="s">
        <v>30</v>
      </c>
      <c r="D16" t="s">
        <v>31</v>
      </c>
      <c r="E16">
        <v>3.06</v>
      </c>
      <c r="F16">
        <v>15.3</v>
      </c>
    </row>
    <row r="17" spans="1:6" x14ac:dyDescent="0.2">
      <c r="A17" t="s">
        <v>28</v>
      </c>
      <c r="B17" t="s">
        <v>29</v>
      </c>
      <c r="C17" t="s">
        <v>30</v>
      </c>
      <c r="D17" t="s">
        <v>31</v>
      </c>
      <c r="E17">
        <v>3</v>
      </c>
      <c r="F17">
        <v>15</v>
      </c>
    </row>
    <row r="18" spans="1:6" x14ac:dyDescent="0.2">
      <c r="A18" t="s">
        <v>204</v>
      </c>
      <c r="B18" t="s">
        <v>205</v>
      </c>
      <c r="C18" t="s">
        <v>176</v>
      </c>
      <c r="D18" t="s">
        <v>31</v>
      </c>
      <c r="E18">
        <v>2.93</v>
      </c>
      <c r="F18">
        <v>14.65</v>
      </c>
    </row>
    <row r="19" spans="1:6" x14ac:dyDescent="0.2">
      <c r="A19" t="s">
        <v>128</v>
      </c>
      <c r="B19" t="s">
        <v>129</v>
      </c>
      <c r="C19" t="s">
        <v>123</v>
      </c>
      <c r="D19" t="s">
        <v>130</v>
      </c>
      <c r="E19">
        <v>2.73</v>
      </c>
      <c r="F19">
        <v>13.65</v>
      </c>
    </row>
    <row r="20" spans="1:6" x14ac:dyDescent="0.2">
      <c r="A20" t="s">
        <v>206</v>
      </c>
      <c r="B20" t="s">
        <v>207</v>
      </c>
      <c r="C20" t="s">
        <v>169</v>
      </c>
      <c r="D20" t="s">
        <v>42</v>
      </c>
      <c r="E20">
        <v>2.73</v>
      </c>
      <c r="F20">
        <v>13.65</v>
      </c>
    </row>
    <row r="21" spans="1:6" x14ac:dyDescent="0.2">
      <c r="A21" t="s">
        <v>32</v>
      </c>
      <c r="B21" t="s">
        <v>33</v>
      </c>
      <c r="C21" t="s">
        <v>30</v>
      </c>
      <c r="D21" t="s">
        <v>34</v>
      </c>
      <c r="E21">
        <v>2.41</v>
      </c>
      <c r="F21">
        <v>12.05</v>
      </c>
    </row>
    <row r="22" spans="1:6" x14ac:dyDescent="0.2">
      <c r="A22" t="s">
        <v>179</v>
      </c>
      <c r="B22" t="s">
        <v>180</v>
      </c>
      <c r="C22" t="s">
        <v>176</v>
      </c>
      <c r="D22" t="s">
        <v>34</v>
      </c>
      <c r="E22">
        <v>2.41</v>
      </c>
      <c r="F22">
        <v>12.05</v>
      </c>
    </row>
    <row r="23" spans="1:6" x14ac:dyDescent="0.2">
      <c r="A23" t="s">
        <v>181</v>
      </c>
      <c r="B23" t="s">
        <v>182</v>
      </c>
      <c r="C23" t="s">
        <v>176</v>
      </c>
      <c r="D23" t="s">
        <v>34</v>
      </c>
      <c r="E23">
        <v>2.41</v>
      </c>
      <c r="F23">
        <v>12.05</v>
      </c>
    </row>
    <row r="24" spans="1:6" x14ac:dyDescent="0.2">
      <c r="A24" t="s">
        <v>183</v>
      </c>
      <c r="B24" t="s">
        <v>184</v>
      </c>
      <c r="C24" t="s">
        <v>176</v>
      </c>
      <c r="D24" t="s">
        <v>61</v>
      </c>
      <c r="E24">
        <v>2.41</v>
      </c>
      <c r="F24">
        <v>12.05</v>
      </c>
    </row>
    <row r="25" spans="1:6" x14ac:dyDescent="0.2">
      <c r="A25" t="s">
        <v>134</v>
      </c>
      <c r="B25" t="s">
        <v>135</v>
      </c>
      <c r="C25" t="s">
        <v>123</v>
      </c>
      <c r="D25" t="s">
        <v>31</v>
      </c>
      <c r="E25">
        <v>2.2999999999999998</v>
      </c>
      <c r="F25">
        <v>11.5</v>
      </c>
    </row>
    <row r="26" spans="1:6" x14ac:dyDescent="0.2">
      <c r="A26" t="s">
        <v>35</v>
      </c>
      <c r="B26" t="s">
        <v>36</v>
      </c>
      <c r="C26" t="s">
        <v>37</v>
      </c>
      <c r="D26" t="s">
        <v>38</v>
      </c>
      <c r="E26">
        <v>2.19</v>
      </c>
      <c r="F26">
        <v>10.95</v>
      </c>
    </row>
    <row r="27" spans="1:6" x14ac:dyDescent="0.2">
      <c r="A27" t="s">
        <v>136</v>
      </c>
      <c r="B27" t="s">
        <v>137</v>
      </c>
      <c r="C27" t="s">
        <v>123</v>
      </c>
      <c r="D27" t="s">
        <v>48</v>
      </c>
      <c r="E27">
        <v>2.19</v>
      </c>
      <c r="F27">
        <v>10.95</v>
      </c>
    </row>
    <row r="28" spans="1:6" x14ac:dyDescent="0.2">
      <c r="A28" t="s">
        <v>64</v>
      </c>
      <c r="B28" t="s">
        <v>65</v>
      </c>
      <c r="C28" t="s">
        <v>30</v>
      </c>
      <c r="D28" t="s">
        <v>31</v>
      </c>
      <c r="E28">
        <v>2.19</v>
      </c>
      <c r="F28">
        <v>10.95</v>
      </c>
    </row>
    <row r="29" spans="1:6" x14ac:dyDescent="0.2">
      <c r="A29" t="s">
        <v>66</v>
      </c>
      <c r="B29" t="s">
        <v>67</v>
      </c>
      <c r="C29" t="s">
        <v>30</v>
      </c>
      <c r="D29" t="s">
        <v>48</v>
      </c>
      <c r="E29">
        <v>2.19</v>
      </c>
      <c r="F29">
        <v>10.95</v>
      </c>
    </row>
    <row r="30" spans="1:6" x14ac:dyDescent="0.2">
      <c r="A30" t="s">
        <v>185</v>
      </c>
      <c r="B30" t="s">
        <v>186</v>
      </c>
      <c r="C30" t="s">
        <v>176</v>
      </c>
      <c r="D30" t="s">
        <v>31</v>
      </c>
      <c r="E30">
        <v>2.08</v>
      </c>
      <c r="F30">
        <v>10.4</v>
      </c>
    </row>
    <row r="31" spans="1:6" x14ac:dyDescent="0.2">
      <c r="A31" t="s">
        <v>98</v>
      </c>
      <c r="B31" t="s">
        <v>99</v>
      </c>
      <c r="C31" t="s">
        <v>41</v>
      </c>
      <c r="D31" t="s">
        <v>31</v>
      </c>
      <c r="E31">
        <v>1.86</v>
      </c>
      <c r="F31">
        <v>9.3000000000000007</v>
      </c>
    </row>
    <row r="32" spans="1:6" x14ac:dyDescent="0.2">
      <c r="A32" t="s">
        <v>187</v>
      </c>
      <c r="B32" t="s">
        <v>188</v>
      </c>
      <c r="C32" t="s">
        <v>176</v>
      </c>
      <c r="D32" t="s">
        <v>31</v>
      </c>
      <c r="E32">
        <v>1.75</v>
      </c>
      <c r="F32">
        <v>8.75</v>
      </c>
    </row>
    <row r="33" spans="1:6" x14ac:dyDescent="0.2">
      <c r="A33" t="s">
        <v>189</v>
      </c>
      <c r="B33" t="s">
        <v>190</v>
      </c>
      <c r="C33" t="s">
        <v>191</v>
      </c>
      <c r="D33" t="s">
        <v>61</v>
      </c>
      <c r="E33">
        <v>1.75</v>
      </c>
      <c r="F33">
        <v>8.75</v>
      </c>
    </row>
    <row r="34" spans="1:6" x14ac:dyDescent="0.2">
      <c r="A34" t="s">
        <v>39</v>
      </c>
      <c r="B34" t="s">
        <v>40</v>
      </c>
      <c r="C34" t="s">
        <v>41</v>
      </c>
      <c r="D34" t="s">
        <v>42</v>
      </c>
      <c r="E34">
        <v>1.64</v>
      </c>
      <c r="F34">
        <v>8.1999999999999993</v>
      </c>
    </row>
    <row r="35" spans="1:6" x14ac:dyDescent="0.2">
      <c r="A35" s="4" t="s">
        <v>100</v>
      </c>
      <c r="E35" s="4">
        <f>SUM(E5:E34)</f>
        <v>99.999999999999986</v>
      </c>
      <c r="F35" s="4">
        <f>SUM(F5:F34)</f>
        <v>499.99999999999989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Summary</vt:lpstr>
      <vt:lpstr>TELA AM</vt:lpstr>
      <vt:lpstr>ECEQ, Water</vt:lpstr>
      <vt:lpstr>Poseidon, MedPoseidon</vt:lpstr>
      <vt:lpstr>Verdantis Capital</vt:lpstr>
      <vt:lpstr>InclusiFund</vt:lpstr>
      <vt:lpstr>GreenRock</vt:lpstr>
      <vt:lpstr>GreenInvestment</vt:lpstr>
      <vt:lpstr>Aequitas Capital</vt:lpstr>
      <vt:lpstr>STARH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Pauline Berthouloux</cp:lastModifiedBy>
  <cp:revision>0</cp:revision>
  <dcterms:created xsi:type="dcterms:W3CDTF">2026-10-02T14:36:41Z</dcterms:created>
  <dcterms:modified xsi:type="dcterms:W3CDTF">2026-10-02T15:28:25Z</dcterms:modified>
  <dc:language>fr-FR</dc:language>
</cp:coreProperties>
</file>